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Produccion - calidad- IT. Espert\Plan Produccion\"/>
    </mc:Choice>
  </mc:AlternateContent>
  <xr:revisionPtr revIDLastSave="0" documentId="13_ncr:1_{C948D175-DEEB-439A-8E63-CBD057D3EF6C}" xr6:coauthVersionLast="47" xr6:coauthVersionMax="47" xr10:uidLastSave="{00000000-0000-0000-0000-000000000000}"/>
  <bookViews>
    <workbookView xWindow="-120" yWindow="-120" windowWidth="20730" windowHeight="11160" tabRatio="685" xr2:uid="{00000000-000D-0000-FFFF-FFFF00000000}"/>
  </bookViews>
  <sheets>
    <sheet name="Plan - Semanal" sheetId="19" r:id="rId1"/>
    <sheet name="Gráfico_Plan" sheetId="2" r:id="rId2"/>
    <sheet name="Stock insumos" sheetId="21" r:id="rId3"/>
  </sheets>
  <definedNames>
    <definedName name="_xlnm.Print_Area" localSheetId="0">'Plan - Semanal'!$B$2:$K$98,'Plan - Semanal'!$B$102:$K$349,'Plan - Semanal'!$B$383:$L$460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9" i="21" l="1"/>
  <c r="AQ58" i="21"/>
  <c r="AQ57" i="21"/>
  <c r="AN58" i="21"/>
  <c r="AN57" i="21"/>
  <c r="AK58" i="21"/>
  <c r="AK57" i="21"/>
  <c r="AH58" i="21"/>
  <c r="AH57" i="21"/>
  <c r="AE58" i="21"/>
  <c r="AE57" i="21"/>
  <c r="AB58" i="21"/>
  <c r="AB57" i="21"/>
  <c r="Y58" i="21"/>
  <c r="Y57" i="21"/>
  <c r="V58" i="21"/>
  <c r="V57" i="21"/>
  <c r="S58" i="21"/>
  <c r="S57" i="21"/>
  <c r="P58" i="21"/>
  <c r="P57" i="21"/>
  <c r="AQ47" i="21"/>
  <c r="AQ46" i="21"/>
  <c r="AN47" i="21"/>
  <c r="AN46" i="21"/>
  <c r="AK47" i="21"/>
  <c r="AK46" i="21"/>
  <c r="AH47" i="21"/>
  <c r="AH46" i="21"/>
  <c r="AE47" i="21"/>
  <c r="AE46" i="21"/>
  <c r="AB47" i="21"/>
  <c r="AB46" i="21"/>
  <c r="Y47" i="21"/>
  <c r="Y46" i="21"/>
  <c r="V47" i="21"/>
  <c r="V46" i="21"/>
  <c r="S47" i="21"/>
  <c r="S46" i="21"/>
  <c r="P47" i="21"/>
  <c r="P46" i="21"/>
  <c r="AQ30" i="21"/>
  <c r="AN30" i="21"/>
  <c r="AK30" i="21"/>
  <c r="AH30" i="21"/>
  <c r="AE30" i="21"/>
  <c r="AB30" i="21"/>
  <c r="Y30" i="21"/>
  <c r="V30" i="21"/>
  <c r="S30" i="21"/>
  <c r="P30" i="21"/>
  <c r="AQ29" i="21"/>
  <c r="AN29" i="21"/>
  <c r="AK29" i="21"/>
  <c r="AH29" i="21"/>
  <c r="AE29" i="21"/>
  <c r="AB29" i="21"/>
  <c r="Y29" i="21"/>
  <c r="V29" i="21"/>
  <c r="V14" i="21"/>
  <c r="S29" i="21"/>
  <c r="P29" i="21"/>
  <c r="AQ15" i="21"/>
  <c r="AN15" i="21"/>
  <c r="AK15" i="21"/>
  <c r="AH15" i="21"/>
  <c r="AE15" i="21"/>
  <c r="AB15" i="21"/>
  <c r="Y15" i="21"/>
  <c r="V15" i="21"/>
  <c r="S15" i="21"/>
  <c r="P15" i="21"/>
  <c r="AQ14" i="21"/>
  <c r="AN14" i="21"/>
  <c r="AK14" i="21"/>
  <c r="AH14" i="21"/>
  <c r="AE14" i="21"/>
  <c r="AB14" i="21"/>
  <c r="Y14" i="21"/>
  <c r="S14" i="21"/>
  <c r="P14" i="21"/>
  <c r="K58" i="21"/>
  <c r="Q58" i="21" s="1"/>
  <c r="K57" i="21"/>
  <c r="N57" i="21" s="1"/>
  <c r="K47" i="21"/>
  <c r="N47" i="21" s="1"/>
  <c r="K46" i="21"/>
  <c r="E30" i="21"/>
  <c r="K30" i="21" s="1"/>
  <c r="E29" i="21"/>
  <c r="K29" i="21" s="1"/>
  <c r="N29" i="21" s="1"/>
  <c r="K15" i="21"/>
  <c r="K14" i="21"/>
  <c r="I493" i="19"/>
  <c r="H493" i="19"/>
  <c r="G493" i="19"/>
  <c r="F493" i="19"/>
  <c r="E493" i="19"/>
  <c r="D493" i="19"/>
  <c r="I488" i="19"/>
  <c r="H488" i="19"/>
  <c r="G488" i="19"/>
  <c r="F488" i="19"/>
  <c r="E488" i="19"/>
  <c r="E489" i="19" s="1"/>
  <c r="D488" i="19"/>
  <c r="C493" i="19"/>
  <c r="C488" i="19"/>
  <c r="C483" i="19"/>
  <c r="I495" i="19"/>
  <c r="H495" i="19"/>
  <c r="G495" i="19"/>
  <c r="F495" i="19"/>
  <c r="E495" i="19"/>
  <c r="D495" i="19"/>
  <c r="C495" i="19"/>
  <c r="C494" i="19"/>
  <c r="K493" i="19"/>
  <c r="I494" i="19"/>
  <c r="H494" i="19"/>
  <c r="G494" i="19"/>
  <c r="F494" i="19"/>
  <c r="E494" i="19"/>
  <c r="D494" i="19"/>
  <c r="I490" i="19"/>
  <c r="H490" i="19"/>
  <c r="G490" i="19"/>
  <c r="F490" i="19"/>
  <c r="E490" i="19"/>
  <c r="D490" i="19"/>
  <c r="C490" i="19"/>
  <c r="H489" i="19"/>
  <c r="I457" i="19"/>
  <c r="I458" i="19" s="1"/>
  <c r="H457" i="19"/>
  <c r="H458" i="19" s="1"/>
  <c r="G457" i="19"/>
  <c r="G458" i="19" s="1"/>
  <c r="F457" i="19"/>
  <c r="F458" i="19" s="1"/>
  <c r="E457" i="19"/>
  <c r="D457" i="19"/>
  <c r="D458" i="19" s="1"/>
  <c r="I452" i="19"/>
  <c r="H452" i="19"/>
  <c r="G452" i="19"/>
  <c r="F452" i="19"/>
  <c r="E452" i="19"/>
  <c r="D452" i="19"/>
  <c r="C457" i="19"/>
  <c r="C458" i="19" s="1"/>
  <c r="C452" i="19"/>
  <c r="C447" i="19"/>
  <c r="C448" i="19" s="1"/>
  <c r="I459" i="19"/>
  <c r="H459" i="19"/>
  <c r="G459" i="19"/>
  <c r="F459" i="19"/>
  <c r="E459" i="19"/>
  <c r="D459" i="19"/>
  <c r="C459" i="19"/>
  <c r="E458" i="19"/>
  <c r="I454" i="19"/>
  <c r="H454" i="19"/>
  <c r="G454" i="19"/>
  <c r="F454" i="19"/>
  <c r="E454" i="19"/>
  <c r="D454" i="19"/>
  <c r="C454" i="19"/>
  <c r="J379" i="19"/>
  <c r="I379" i="19"/>
  <c r="H379" i="19"/>
  <c r="G379" i="19"/>
  <c r="F379" i="19"/>
  <c r="E379" i="19"/>
  <c r="D379" i="19"/>
  <c r="C379" i="19"/>
  <c r="J374" i="19"/>
  <c r="J376" i="19" s="1"/>
  <c r="I374" i="19"/>
  <c r="I376" i="19" s="1"/>
  <c r="H374" i="19"/>
  <c r="G374" i="19"/>
  <c r="G376" i="19" s="1"/>
  <c r="F374" i="19"/>
  <c r="F376" i="19" s="1"/>
  <c r="E374" i="19"/>
  <c r="E376" i="19" s="1"/>
  <c r="D374" i="19"/>
  <c r="D376" i="19" s="1"/>
  <c r="C374" i="19"/>
  <c r="C376" i="19" s="1"/>
  <c r="J370" i="19"/>
  <c r="J372" i="19" s="1"/>
  <c r="I370" i="19"/>
  <c r="I372" i="19" s="1"/>
  <c r="I489" i="19" s="1"/>
  <c r="H370" i="19"/>
  <c r="H372" i="19" s="1"/>
  <c r="G370" i="19"/>
  <c r="G372" i="19" s="1"/>
  <c r="G489" i="19" s="1"/>
  <c r="F370" i="19"/>
  <c r="F372" i="19" s="1"/>
  <c r="F489" i="19" s="1"/>
  <c r="E370" i="19"/>
  <c r="E372" i="19" s="1"/>
  <c r="D370" i="19"/>
  <c r="D372" i="19" s="1"/>
  <c r="C370" i="19"/>
  <c r="C372" i="19" s="1"/>
  <c r="C489" i="19" s="1"/>
  <c r="H376" i="19"/>
  <c r="K375" i="19"/>
  <c r="K371" i="19"/>
  <c r="I310" i="19"/>
  <c r="H310" i="19"/>
  <c r="G310" i="19"/>
  <c r="F310" i="19"/>
  <c r="E310" i="19"/>
  <c r="D310" i="19"/>
  <c r="I309" i="19"/>
  <c r="H309" i="19"/>
  <c r="G309" i="19"/>
  <c r="F309" i="19"/>
  <c r="E309" i="19"/>
  <c r="D309" i="19"/>
  <c r="I308" i="19"/>
  <c r="H308" i="19"/>
  <c r="G308" i="19"/>
  <c r="F308" i="19"/>
  <c r="E308" i="19"/>
  <c r="D308" i="19"/>
  <c r="I307" i="19"/>
  <c r="H307" i="19"/>
  <c r="G307" i="19"/>
  <c r="F307" i="19"/>
  <c r="E307" i="19"/>
  <c r="D307" i="19"/>
  <c r="C310" i="19"/>
  <c r="C309" i="19"/>
  <c r="C308" i="19"/>
  <c r="C307" i="19"/>
  <c r="I280" i="19"/>
  <c r="H280" i="19"/>
  <c r="G280" i="19"/>
  <c r="F280" i="19"/>
  <c r="E280" i="19"/>
  <c r="D280" i="19"/>
  <c r="I279" i="19"/>
  <c r="I288" i="19" s="1"/>
  <c r="H279" i="19"/>
  <c r="H288" i="19" s="1"/>
  <c r="G279" i="19"/>
  <c r="G288" i="19" s="1"/>
  <c r="F279" i="19"/>
  <c r="F288" i="19" s="1"/>
  <c r="E279" i="19"/>
  <c r="E288" i="19" s="1"/>
  <c r="D279" i="19"/>
  <c r="D288" i="19" s="1"/>
  <c r="I278" i="19"/>
  <c r="I287" i="19" s="1"/>
  <c r="H278" i="19"/>
  <c r="H287" i="19" s="1"/>
  <c r="G278" i="19"/>
  <c r="G287" i="19" s="1"/>
  <c r="F278" i="19"/>
  <c r="F287" i="19" s="1"/>
  <c r="E278" i="19"/>
  <c r="E287" i="19" s="1"/>
  <c r="D278" i="19"/>
  <c r="D287" i="19" s="1"/>
  <c r="I277" i="19"/>
  <c r="I286" i="19" s="1"/>
  <c r="H277" i="19"/>
  <c r="H286" i="19" s="1"/>
  <c r="G277" i="19"/>
  <c r="G286" i="19" s="1"/>
  <c r="F277" i="19"/>
  <c r="F286" i="19" s="1"/>
  <c r="E277" i="19"/>
  <c r="E286" i="19" s="1"/>
  <c r="D277" i="19"/>
  <c r="D286" i="19" s="1"/>
  <c r="C280" i="19"/>
  <c r="C279" i="19"/>
  <c r="C278" i="19"/>
  <c r="C287" i="19" s="1"/>
  <c r="C277" i="19"/>
  <c r="C286" i="19" s="1"/>
  <c r="I267" i="19"/>
  <c r="H267" i="19"/>
  <c r="G267" i="19"/>
  <c r="F267" i="19"/>
  <c r="E267" i="19"/>
  <c r="D267" i="19"/>
  <c r="I266" i="19"/>
  <c r="I275" i="19" s="1"/>
  <c r="H266" i="19"/>
  <c r="H275" i="19" s="1"/>
  <c r="G266" i="19"/>
  <c r="G275" i="19" s="1"/>
  <c r="F266" i="19"/>
  <c r="F275" i="19" s="1"/>
  <c r="E266" i="19"/>
  <c r="E275" i="19" s="1"/>
  <c r="D266" i="19"/>
  <c r="D275" i="19" s="1"/>
  <c r="I265" i="19"/>
  <c r="H265" i="19"/>
  <c r="G265" i="19"/>
  <c r="F265" i="19"/>
  <c r="E265" i="19"/>
  <c r="D265" i="19"/>
  <c r="D453" i="19" s="1"/>
  <c r="I264" i="19"/>
  <c r="I273" i="19" s="1"/>
  <c r="H264" i="19"/>
  <c r="H273" i="19" s="1"/>
  <c r="G264" i="19"/>
  <c r="G273" i="19" s="1"/>
  <c r="F264" i="19"/>
  <c r="F273" i="19" s="1"/>
  <c r="E264" i="19"/>
  <c r="E273" i="19" s="1"/>
  <c r="D264" i="19"/>
  <c r="D273" i="19" s="1"/>
  <c r="C267" i="19"/>
  <c r="C266" i="19"/>
  <c r="C265" i="19"/>
  <c r="C264" i="19"/>
  <c r="I285" i="19"/>
  <c r="H285" i="19"/>
  <c r="G285" i="19"/>
  <c r="F285" i="19"/>
  <c r="E285" i="19"/>
  <c r="D285" i="19"/>
  <c r="C285" i="19"/>
  <c r="K284" i="19"/>
  <c r="K283" i="19"/>
  <c r="K282" i="19"/>
  <c r="K281" i="19"/>
  <c r="I272" i="19"/>
  <c r="H272" i="19"/>
  <c r="G272" i="19"/>
  <c r="F272" i="19"/>
  <c r="E272" i="19"/>
  <c r="D272" i="19"/>
  <c r="C272" i="19"/>
  <c r="K271" i="19"/>
  <c r="K270" i="19"/>
  <c r="K269" i="19"/>
  <c r="K268" i="19"/>
  <c r="O94" i="19"/>
  <c r="N94" i="19"/>
  <c r="M94" i="19"/>
  <c r="J94" i="19"/>
  <c r="I94" i="19"/>
  <c r="H94" i="19"/>
  <c r="G94" i="19"/>
  <c r="F94" i="19"/>
  <c r="E94" i="19"/>
  <c r="D94" i="19"/>
  <c r="C94" i="19"/>
  <c r="K91" i="19"/>
  <c r="P91" i="19" s="1"/>
  <c r="K90" i="19"/>
  <c r="P90" i="19" s="1"/>
  <c r="O72" i="19"/>
  <c r="N72" i="19"/>
  <c r="M72" i="19"/>
  <c r="O71" i="19"/>
  <c r="N71" i="19"/>
  <c r="M71" i="19"/>
  <c r="O70" i="19"/>
  <c r="N70" i="19"/>
  <c r="M70" i="19"/>
  <c r="O69" i="19"/>
  <c r="N69" i="19"/>
  <c r="M69" i="19"/>
  <c r="J72" i="19"/>
  <c r="I72" i="19"/>
  <c r="H72" i="19"/>
  <c r="G72" i="19"/>
  <c r="F72" i="19"/>
  <c r="E72" i="19"/>
  <c r="D72" i="19"/>
  <c r="J71" i="19"/>
  <c r="I71" i="19"/>
  <c r="H71" i="19"/>
  <c r="G71" i="19"/>
  <c r="F71" i="19"/>
  <c r="E71" i="19"/>
  <c r="D71" i="19"/>
  <c r="J70" i="19"/>
  <c r="I70" i="19"/>
  <c r="H70" i="19"/>
  <c r="G70" i="19"/>
  <c r="F70" i="19"/>
  <c r="E70" i="19"/>
  <c r="D70" i="19"/>
  <c r="J69" i="19"/>
  <c r="I69" i="19"/>
  <c r="H69" i="19"/>
  <c r="G69" i="19"/>
  <c r="F69" i="19"/>
  <c r="E69" i="19"/>
  <c r="D69" i="19"/>
  <c r="C72" i="19"/>
  <c r="C71" i="19"/>
  <c r="C70" i="19"/>
  <c r="C69" i="19"/>
  <c r="K64" i="19"/>
  <c r="P64" i="19" s="1"/>
  <c r="K63" i="19"/>
  <c r="P63" i="19" s="1"/>
  <c r="K62" i="19"/>
  <c r="P62" i="19" s="1"/>
  <c r="K61" i="19"/>
  <c r="P61" i="19" s="1"/>
  <c r="K60" i="19"/>
  <c r="P60" i="19" s="1"/>
  <c r="K59" i="19"/>
  <c r="P59" i="19" s="1"/>
  <c r="K58" i="19"/>
  <c r="P58" i="19" s="1"/>
  <c r="K57" i="19"/>
  <c r="P57" i="19" s="1"/>
  <c r="K49" i="21"/>
  <c r="N49" i="21" s="1"/>
  <c r="AQ31" i="21"/>
  <c r="AN31" i="21"/>
  <c r="AK31" i="21"/>
  <c r="AH31" i="21"/>
  <c r="AE31" i="21"/>
  <c r="AB31" i="21"/>
  <c r="Y31" i="21"/>
  <c r="V31" i="21"/>
  <c r="S31" i="21"/>
  <c r="P16" i="21"/>
  <c r="P56" i="21" s="1"/>
  <c r="P31" i="21"/>
  <c r="AQ16" i="21"/>
  <c r="AQ56" i="21" s="1"/>
  <c r="AN16" i="21"/>
  <c r="AN56" i="21" s="1"/>
  <c r="AK16" i="21"/>
  <c r="AK56" i="21" s="1"/>
  <c r="AH16" i="21"/>
  <c r="AH56" i="21" s="1"/>
  <c r="AE16" i="21"/>
  <c r="AE56" i="21" s="1"/>
  <c r="AB16" i="21"/>
  <c r="AB56" i="21" s="1"/>
  <c r="Y16" i="21"/>
  <c r="Y56" i="21" s="1"/>
  <c r="V16" i="21"/>
  <c r="V56" i="21" s="1"/>
  <c r="S16" i="21"/>
  <c r="S56" i="21" s="1"/>
  <c r="P9" i="21"/>
  <c r="K56" i="21"/>
  <c r="I207" i="19"/>
  <c r="H207" i="19"/>
  <c r="G207" i="19"/>
  <c r="F207" i="19"/>
  <c r="E207" i="19"/>
  <c r="D207" i="19"/>
  <c r="I206" i="19"/>
  <c r="H206" i="19"/>
  <c r="G206" i="19"/>
  <c r="F206" i="19"/>
  <c r="E206" i="19"/>
  <c r="D206" i="19"/>
  <c r="I205" i="19"/>
  <c r="H205" i="19"/>
  <c r="G205" i="19"/>
  <c r="F205" i="19"/>
  <c r="E205" i="19"/>
  <c r="D205" i="19"/>
  <c r="C205" i="19"/>
  <c r="I204" i="19"/>
  <c r="H204" i="19"/>
  <c r="G204" i="19"/>
  <c r="F204" i="19"/>
  <c r="E204" i="19"/>
  <c r="D204" i="19"/>
  <c r="C204" i="19"/>
  <c r="K16" i="21"/>
  <c r="I483" i="19"/>
  <c r="I484" i="19" s="1"/>
  <c r="H483" i="19"/>
  <c r="H484" i="19" s="1"/>
  <c r="G483" i="19"/>
  <c r="G484" i="19" s="1"/>
  <c r="F483" i="19"/>
  <c r="F484" i="19" s="1"/>
  <c r="E483" i="19"/>
  <c r="E484" i="19" s="1"/>
  <c r="D483" i="19"/>
  <c r="D484" i="19" s="1"/>
  <c r="C484" i="19"/>
  <c r="C478" i="19"/>
  <c r="I485" i="19"/>
  <c r="H485" i="19"/>
  <c r="G485" i="19"/>
  <c r="F485" i="19"/>
  <c r="E485" i="19"/>
  <c r="D485" i="19"/>
  <c r="C485" i="19"/>
  <c r="I447" i="19"/>
  <c r="H447" i="19"/>
  <c r="G447" i="19"/>
  <c r="F447" i="19"/>
  <c r="E447" i="19"/>
  <c r="D447" i="19"/>
  <c r="I449" i="19"/>
  <c r="H449" i="19"/>
  <c r="G449" i="19"/>
  <c r="F449" i="19"/>
  <c r="E449" i="19"/>
  <c r="D449" i="19"/>
  <c r="C449" i="19"/>
  <c r="H366" i="19"/>
  <c r="D366" i="19"/>
  <c r="D368" i="19" s="1"/>
  <c r="E366" i="19"/>
  <c r="F366" i="19"/>
  <c r="G366" i="19"/>
  <c r="I366" i="19"/>
  <c r="J366" i="19"/>
  <c r="C366" i="19"/>
  <c r="C368" i="19" s="1"/>
  <c r="C363" i="19"/>
  <c r="K367" i="19"/>
  <c r="C298" i="19"/>
  <c r="I293" i="19"/>
  <c r="H293" i="19"/>
  <c r="G293" i="19"/>
  <c r="F293" i="19"/>
  <c r="E293" i="19"/>
  <c r="D293" i="19"/>
  <c r="I292" i="19"/>
  <c r="H292" i="19"/>
  <c r="G292" i="19"/>
  <c r="F292" i="19"/>
  <c r="E292" i="19"/>
  <c r="D292" i="19"/>
  <c r="I291" i="19"/>
  <c r="H291" i="19"/>
  <c r="G291" i="19"/>
  <c r="F291" i="19"/>
  <c r="E291" i="19"/>
  <c r="D291" i="19"/>
  <c r="I290" i="19"/>
  <c r="H290" i="19"/>
  <c r="G290" i="19"/>
  <c r="F290" i="19"/>
  <c r="E290" i="19"/>
  <c r="D290" i="19"/>
  <c r="C293" i="19"/>
  <c r="C292" i="19"/>
  <c r="C291" i="19"/>
  <c r="C300" i="19" s="1"/>
  <c r="C290" i="19"/>
  <c r="C299" i="19" s="1"/>
  <c r="I298" i="19"/>
  <c r="H298" i="19"/>
  <c r="G298" i="19"/>
  <c r="F298" i="19"/>
  <c r="E298" i="19"/>
  <c r="D298" i="19"/>
  <c r="K297" i="19"/>
  <c r="K296" i="19"/>
  <c r="K295" i="19"/>
  <c r="K294" i="19"/>
  <c r="K92" i="19"/>
  <c r="P92" i="19" s="1"/>
  <c r="K66" i="19"/>
  <c r="P66" i="19" s="1"/>
  <c r="K67" i="19"/>
  <c r="P67" i="19" s="1"/>
  <c r="K68" i="19"/>
  <c r="P68" i="19" s="1"/>
  <c r="K65" i="19"/>
  <c r="P65" i="19" s="1"/>
  <c r="I412" i="19"/>
  <c r="H412" i="19"/>
  <c r="G412" i="19"/>
  <c r="F412" i="19"/>
  <c r="E412" i="19"/>
  <c r="D412" i="19"/>
  <c r="C412" i="19"/>
  <c r="I414" i="19"/>
  <c r="H414" i="19"/>
  <c r="G414" i="19"/>
  <c r="F414" i="19"/>
  <c r="E414" i="19"/>
  <c r="D414" i="19"/>
  <c r="C414" i="19"/>
  <c r="C207" i="19"/>
  <c r="C206" i="19"/>
  <c r="I164" i="19"/>
  <c r="H164" i="19"/>
  <c r="G164" i="19"/>
  <c r="F164" i="19"/>
  <c r="F173" i="19" s="1"/>
  <c r="E164" i="19"/>
  <c r="D164" i="19"/>
  <c r="I163" i="19"/>
  <c r="I172" i="19" s="1"/>
  <c r="H163" i="19"/>
  <c r="H172" i="19" s="1"/>
  <c r="G163" i="19"/>
  <c r="F163" i="19"/>
  <c r="F172" i="19" s="1"/>
  <c r="E163" i="19"/>
  <c r="E172" i="19" s="1"/>
  <c r="D163" i="19"/>
  <c r="D172" i="19" s="1"/>
  <c r="I162" i="19"/>
  <c r="I171" i="19" s="1"/>
  <c r="H162" i="19"/>
  <c r="H171" i="19" s="1"/>
  <c r="G162" i="19"/>
  <c r="G171" i="19" s="1"/>
  <c r="F162" i="19"/>
  <c r="F171" i="19" s="1"/>
  <c r="E162" i="19"/>
  <c r="D162" i="19"/>
  <c r="D171" i="19" s="1"/>
  <c r="I161" i="19"/>
  <c r="I170" i="19" s="1"/>
  <c r="H161" i="19"/>
  <c r="H170" i="19" s="1"/>
  <c r="G161" i="19"/>
  <c r="G170" i="19" s="1"/>
  <c r="F161" i="19"/>
  <c r="F170" i="19" s="1"/>
  <c r="E161" i="19"/>
  <c r="E170" i="19" s="1"/>
  <c r="D161" i="19"/>
  <c r="D170" i="19" s="1"/>
  <c r="C164" i="19"/>
  <c r="C163" i="19"/>
  <c r="C172" i="19" s="1"/>
  <c r="C162" i="19"/>
  <c r="C171" i="19" s="1"/>
  <c r="C161" i="19"/>
  <c r="C170" i="19" s="1"/>
  <c r="I169" i="19"/>
  <c r="H169" i="19"/>
  <c r="G169" i="19"/>
  <c r="F169" i="19"/>
  <c r="E169" i="19"/>
  <c r="D169" i="19"/>
  <c r="C169" i="19"/>
  <c r="K168" i="19"/>
  <c r="K167" i="19"/>
  <c r="K166" i="19"/>
  <c r="K165" i="19"/>
  <c r="P78" i="21"/>
  <c r="R78" i="21" s="1"/>
  <c r="AQ80" i="21"/>
  <c r="AS80" i="21" s="1"/>
  <c r="AN80" i="21"/>
  <c r="AP80" i="21" s="1"/>
  <c r="AK80" i="21"/>
  <c r="AM80" i="21" s="1"/>
  <c r="AH80" i="21"/>
  <c r="AJ80" i="21" s="1"/>
  <c r="AE80" i="21"/>
  <c r="AG80" i="21" s="1"/>
  <c r="AB80" i="21"/>
  <c r="AD80" i="21" s="1"/>
  <c r="Y80" i="21"/>
  <c r="AA80" i="21" s="1"/>
  <c r="V80" i="21"/>
  <c r="X80" i="21" s="1"/>
  <c r="S80" i="21"/>
  <c r="U80" i="21" s="1"/>
  <c r="P80" i="21"/>
  <c r="R80" i="21" s="1"/>
  <c r="K80" i="21"/>
  <c r="AQ79" i="21"/>
  <c r="AS79" i="21" s="1"/>
  <c r="AN79" i="21"/>
  <c r="AP79" i="21" s="1"/>
  <c r="AK79" i="21"/>
  <c r="AM79" i="21" s="1"/>
  <c r="AH79" i="21"/>
  <c r="AJ79" i="21" s="1"/>
  <c r="AE79" i="21"/>
  <c r="AG79" i="21" s="1"/>
  <c r="AB79" i="21"/>
  <c r="AD79" i="21" s="1"/>
  <c r="Y79" i="21"/>
  <c r="AA79" i="21" s="1"/>
  <c r="V79" i="21"/>
  <c r="X79" i="21" s="1"/>
  <c r="S79" i="21"/>
  <c r="U79" i="21" s="1"/>
  <c r="P79" i="21"/>
  <c r="N79" i="21"/>
  <c r="AQ78" i="21"/>
  <c r="AS78" i="21" s="1"/>
  <c r="AN78" i="21"/>
  <c r="AP78" i="21" s="1"/>
  <c r="AK78" i="21"/>
  <c r="AM78" i="21" s="1"/>
  <c r="AH78" i="21"/>
  <c r="AJ78" i="21" s="1"/>
  <c r="AE78" i="21"/>
  <c r="AG78" i="21" s="1"/>
  <c r="AB78" i="21"/>
  <c r="AD78" i="21" s="1"/>
  <c r="Y78" i="21"/>
  <c r="AA78" i="21" s="1"/>
  <c r="V78" i="21"/>
  <c r="X78" i="21" s="1"/>
  <c r="S78" i="21"/>
  <c r="U78" i="21" s="1"/>
  <c r="K78" i="21"/>
  <c r="N78" i="21" s="1"/>
  <c r="K67" i="21"/>
  <c r="N67" i="21" s="1"/>
  <c r="K48" i="21"/>
  <c r="N48" i="21" s="1"/>
  <c r="K41" i="21"/>
  <c r="N41" i="21" s="1"/>
  <c r="K40" i="21"/>
  <c r="AQ22" i="21"/>
  <c r="AN22" i="21"/>
  <c r="AK22" i="21"/>
  <c r="AH22" i="21"/>
  <c r="AE22" i="21"/>
  <c r="AB22" i="21"/>
  <c r="Y22" i="21"/>
  <c r="V22" i="21"/>
  <c r="S22" i="21"/>
  <c r="P22" i="21"/>
  <c r="K22" i="21"/>
  <c r="N22" i="21" s="1"/>
  <c r="AQ43" i="21"/>
  <c r="AN43" i="21"/>
  <c r="AK43" i="21"/>
  <c r="AH43" i="21"/>
  <c r="AE43" i="21"/>
  <c r="AB43" i="21"/>
  <c r="Y43" i="21"/>
  <c r="V43" i="21"/>
  <c r="S43" i="21"/>
  <c r="P43" i="21"/>
  <c r="K43" i="21"/>
  <c r="N43" i="21" s="1"/>
  <c r="AQ7" i="21"/>
  <c r="AN7" i="21"/>
  <c r="AK7" i="21"/>
  <c r="AH7" i="21"/>
  <c r="AE7" i="21"/>
  <c r="AB7" i="21"/>
  <c r="Y7" i="21"/>
  <c r="V7" i="21"/>
  <c r="S7" i="21"/>
  <c r="P7" i="21"/>
  <c r="K7" i="21"/>
  <c r="V9" i="21"/>
  <c r="O40" i="19"/>
  <c r="N40" i="19"/>
  <c r="M40" i="19"/>
  <c r="O39" i="19"/>
  <c r="N39" i="19"/>
  <c r="M39" i="19"/>
  <c r="O38" i="19"/>
  <c r="N38" i="19"/>
  <c r="M38" i="19"/>
  <c r="O37" i="19"/>
  <c r="N37" i="19"/>
  <c r="M37" i="19"/>
  <c r="J40" i="19"/>
  <c r="I40" i="19"/>
  <c r="H40" i="19"/>
  <c r="G40" i="19"/>
  <c r="F40" i="19"/>
  <c r="E40" i="19"/>
  <c r="D40" i="19"/>
  <c r="J39" i="19"/>
  <c r="I39" i="19"/>
  <c r="H39" i="19"/>
  <c r="G39" i="19"/>
  <c r="F39" i="19"/>
  <c r="E39" i="19"/>
  <c r="D39" i="19"/>
  <c r="J38" i="19"/>
  <c r="I38" i="19"/>
  <c r="H38" i="19"/>
  <c r="G38" i="19"/>
  <c r="F38" i="19"/>
  <c r="E38" i="19"/>
  <c r="D38" i="19"/>
  <c r="J37" i="19"/>
  <c r="I37" i="19"/>
  <c r="H37" i="19"/>
  <c r="G37" i="19"/>
  <c r="F37" i="19"/>
  <c r="E37" i="19"/>
  <c r="D37" i="19"/>
  <c r="C38" i="19"/>
  <c r="C39" i="19"/>
  <c r="C40" i="19"/>
  <c r="C37" i="19"/>
  <c r="K28" i="19"/>
  <c r="P28" i="19" s="1"/>
  <c r="K27" i="19"/>
  <c r="P27" i="19" s="1"/>
  <c r="K26" i="19"/>
  <c r="P26" i="19" s="1"/>
  <c r="K25" i="19"/>
  <c r="P25" i="19" s="1"/>
  <c r="Q46" i="21" l="1"/>
  <c r="K494" i="19"/>
  <c r="Q29" i="21"/>
  <c r="T29" i="21" s="1"/>
  <c r="U29" i="21" s="1"/>
  <c r="Q30" i="21"/>
  <c r="T30" i="21" s="1"/>
  <c r="Q15" i="21"/>
  <c r="R15" i="21" s="1"/>
  <c r="Q14" i="21"/>
  <c r="T14" i="21" s="1"/>
  <c r="T58" i="21"/>
  <c r="R58" i="21"/>
  <c r="N58" i="21"/>
  <c r="Q57" i="21"/>
  <c r="Q47" i="21"/>
  <c r="T46" i="21"/>
  <c r="R46" i="21"/>
  <c r="N46" i="21"/>
  <c r="N30" i="21"/>
  <c r="N15" i="21"/>
  <c r="N14" i="21"/>
  <c r="I453" i="19"/>
  <c r="K488" i="19"/>
  <c r="D489" i="19"/>
  <c r="K489" i="19" s="1"/>
  <c r="H453" i="19"/>
  <c r="E453" i="19"/>
  <c r="F453" i="19"/>
  <c r="C453" i="19"/>
  <c r="I289" i="19"/>
  <c r="D289" i="19"/>
  <c r="G453" i="19"/>
  <c r="K376" i="19"/>
  <c r="K374" i="19"/>
  <c r="K372" i="19"/>
  <c r="K264" i="19"/>
  <c r="G289" i="19"/>
  <c r="K285" i="19"/>
  <c r="K370" i="19"/>
  <c r="E289" i="19"/>
  <c r="H289" i="19"/>
  <c r="F289" i="19"/>
  <c r="K266" i="19"/>
  <c r="K279" i="19"/>
  <c r="K278" i="19"/>
  <c r="K277" i="19"/>
  <c r="C288" i="19"/>
  <c r="K288" i="19" s="1"/>
  <c r="K287" i="19"/>
  <c r="C289" i="19"/>
  <c r="K280" i="19"/>
  <c r="K286" i="19"/>
  <c r="K272" i="19"/>
  <c r="C275" i="19"/>
  <c r="K275" i="19" s="1"/>
  <c r="C273" i="19"/>
  <c r="K273" i="19" s="1"/>
  <c r="K207" i="19"/>
  <c r="K366" i="19"/>
  <c r="K483" i="19"/>
  <c r="Q16" i="21"/>
  <c r="R16" i="21" s="1"/>
  <c r="Q56" i="21"/>
  <c r="R56" i="21" s="1"/>
  <c r="N56" i="21"/>
  <c r="N16" i="21"/>
  <c r="K484" i="19"/>
  <c r="H368" i="19"/>
  <c r="E368" i="19"/>
  <c r="K298" i="19"/>
  <c r="F368" i="19"/>
  <c r="I368" i="19"/>
  <c r="J368" i="19"/>
  <c r="G368" i="19"/>
  <c r="D173" i="19"/>
  <c r="G173" i="19"/>
  <c r="H173" i="19"/>
  <c r="K161" i="19"/>
  <c r="K169" i="19"/>
  <c r="K162" i="19"/>
  <c r="K163" i="19"/>
  <c r="E171" i="19"/>
  <c r="K171" i="19" s="1"/>
  <c r="E173" i="19"/>
  <c r="G172" i="19"/>
  <c r="K172" i="19" s="1"/>
  <c r="I173" i="19"/>
  <c r="K170" i="19"/>
  <c r="K164" i="19"/>
  <c r="C173" i="19"/>
  <c r="Q80" i="21"/>
  <c r="T80" i="21" s="1"/>
  <c r="W80" i="21" s="1"/>
  <c r="Z80" i="21" s="1"/>
  <c r="AC80" i="21" s="1"/>
  <c r="AF80" i="21" s="1"/>
  <c r="AI80" i="21" s="1"/>
  <c r="AL80" i="21" s="1"/>
  <c r="AO80" i="21" s="1"/>
  <c r="AR80" i="21" s="1"/>
  <c r="N80" i="21"/>
  <c r="Q78" i="21"/>
  <c r="T78" i="21" s="1"/>
  <c r="W78" i="21" s="1"/>
  <c r="Z78" i="21" s="1"/>
  <c r="AC78" i="21" s="1"/>
  <c r="AF78" i="21" s="1"/>
  <c r="AI78" i="21" s="1"/>
  <c r="AL78" i="21" s="1"/>
  <c r="AO78" i="21" s="1"/>
  <c r="AR78" i="21" s="1"/>
  <c r="Q79" i="21"/>
  <c r="T79" i="21" s="1"/>
  <c r="W79" i="21" s="1"/>
  <c r="Z79" i="21" s="1"/>
  <c r="AC79" i="21" s="1"/>
  <c r="AF79" i="21" s="1"/>
  <c r="AI79" i="21" s="1"/>
  <c r="AL79" i="21" s="1"/>
  <c r="AO79" i="21" s="1"/>
  <c r="AR79" i="21" s="1"/>
  <c r="N40" i="21"/>
  <c r="Q7" i="21"/>
  <c r="R7" i="21" s="1"/>
  <c r="Q22" i="21"/>
  <c r="Q43" i="21"/>
  <c r="N7" i="21"/>
  <c r="K74" i="21"/>
  <c r="R30" i="21" l="1"/>
  <c r="T15" i="21"/>
  <c r="W15" i="21" s="1"/>
  <c r="W29" i="21"/>
  <c r="R29" i="21"/>
  <c r="R14" i="21"/>
  <c r="U58" i="21"/>
  <c r="W58" i="21"/>
  <c r="T57" i="21"/>
  <c r="R57" i="21"/>
  <c r="T47" i="21"/>
  <c r="R47" i="21"/>
  <c r="U46" i="21"/>
  <c r="W46" i="21"/>
  <c r="Z29" i="21"/>
  <c r="X29" i="21"/>
  <c r="U30" i="21"/>
  <c r="W30" i="21"/>
  <c r="U15" i="21"/>
  <c r="U14" i="21"/>
  <c r="W14" i="21"/>
  <c r="K289" i="19"/>
  <c r="K368" i="19"/>
  <c r="R79" i="21"/>
  <c r="T56" i="21"/>
  <c r="W56" i="21" s="1"/>
  <c r="T16" i="21"/>
  <c r="U16" i="21" s="1"/>
  <c r="K173" i="19"/>
  <c r="T7" i="21"/>
  <c r="U7" i="21" s="1"/>
  <c r="T22" i="21"/>
  <c r="R22" i="21"/>
  <c r="R43" i="21"/>
  <c r="T43" i="21"/>
  <c r="I478" i="19"/>
  <c r="H478" i="19"/>
  <c r="G478" i="19"/>
  <c r="F478" i="19"/>
  <c r="E478" i="19"/>
  <c r="D478" i="19"/>
  <c r="Z58" i="21" l="1"/>
  <c r="X58" i="21"/>
  <c r="U57" i="21"/>
  <c r="W57" i="21"/>
  <c r="U47" i="21"/>
  <c r="W47" i="21"/>
  <c r="X46" i="21"/>
  <c r="Z46" i="21"/>
  <c r="Z30" i="21"/>
  <c r="X30" i="21"/>
  <c r="AC29" i="21"/>
  <c r="AA29" i="21"/>
  <c r="Z15" i="21"/>
  <c r="X15" i="21"/>
  <c r="Z14" i="21"/>
  <c r="X14" i="21"/>
  <c r="W16" i="21"/>
  <c r="Z16" i="21" s="1"/>
  <c r="W7" i="21"/>
  <c r="X7" i="21" s="1"/>
  <c r="U56" i="21"/>
  <c r="Z56" i="21"/>
  <c r="X56" i="21"/>
  <c r="U22" i="21"/>
  <c r="W22" i="21"/>
  <c r="U43" i="21"/>
  <c r="W43" i="21"/>
  <c r="AQ81" i="21"/>
  <c r="AN81" i="21"/>
  <c r="AK81" i="21"/>
  <c r="AH81" i="21"/>
  <c r="AE81" i="21"/>
  <c r="AB81" i="21"/>
  <c r="Y81" i="21"/>
  <c r="V81" i="21"/>
  <c r="S81" i="21"/>
  <c r="P81" i="21"/>
  <c r="AQ77" i="21"/>
  <c r="AN77" i="21"/>
  <c r="AK77" i="21"/>
  <c r="AH77" i="21"/>
  <c r="AE77" i="21"/>
  <c r="AB77" i="21"/>
  <c r="Y77" i="21"/>
  <c r="V77" i="21"/>
  <c r="S77" i="21"/>
  <c r="P77" i="21"/>
  <c r="AC58" i="21" l="1"/>
  <c r="AA58" i="21"/>
  <c r="Z57" i="21"/>
  <c r="X57" i="21"/>
  <c r="Z47" i="21"/>
  <c r="X47" i="21"/>
  <c r="AC46" i="21"/>
  <c r="AA46" i="21"/>
  <c r="AD29" i="21"/>
  <c r="AF29" i="21"/>
  <c r="AC30" i="21"/>
  <c r="AA30" i="21"/>
  <c r="AC15" i="21"/>
  <c r="AA15" i="21"/>
  <c r="AC14" i="21"/>
  <c r="AA14" i="21"/>
  <c r="X16" i="21"/>
  <c r="Z7" i="21"/>
  <c r="AA7" i="21" s="1"/>
  <c r="AC56" i="21"/>
  <c r="AA56" i="21"/>
  <c r="AC16" i="21"/>
  <c r="AA16" i="21"/>
  <c r="X22" i="21"/>
  <c r="Z22" i="21"/>
  <c r="X43" i="21"/>
  <c r="Z43" i="21"/>
  <c r="AQ45" i="21"/>
  <c r="AN45" i="21"/>
  <c r="AK45" i="21"/>
  <c r="AH45" i="21"/>
  <c r="AE45" i="21"/>
  <c r="AB45" i="21"/>
  <c r="Y45" i="21"/>
  <c r="V45" i="21"/>
  <c r="S45" i="21"/>
  <c r="P45" i="21"/>
  <c r="AQ44" i="21"/>
  <c r="AN44" i="21"/>
  <c r="AK44" i="21"/>
  <c r="AH44" i="21"/>
  <c r="AE44" i="21"/>
  <c r="AB44" i="21"/>
  <c r="Y44" i="21"/>
  <c r="V44" i="21"/>
  <c r="S44" i="21"/>
  <c r="P44" i="21"/>
  <c r="AQ28" i="21"/>
  <c r="AN28" i="21"/>
  <c r="AK28" i="21"/>
  <c r="AH28" i="21"/>
  <c r="AE28" i="21"/>
  <c r="AB28" i="21"/>
  <c r="Y28" i="21"/>
  <c r="V28" i="21"/>
  <c r="S28" i="21"/>
  <c r="P28" i="21"/>
  <c r="AQ27" i="21"/>
  <c r="AN27" i="21"/>
  <c r="AK27" i="21"/>
  <c r="AH27" i="21"/>
  <c r="AE27" i="21"/>
  <c r="AB27" i="21"/>
  <c r="Y27" i="21"/>
  <c r="V27" i="21"/>
  <c r="S27" i="21"/>
  <c r="P27" i="21"/>
  <c r="AQ26" i="21"/>
  <c r="AN26" i="21"/>
  <c r="AK26" i="21"/>
  <c r="AH26" i="21"/>
  <c r="AE26" i="21"/>
  <c r="AB26" i="21"/>
  <c r="Y26" i="21"/>
  <c r="V26" i="21"/>
  <c r="S26" i="21"/>
  <c r="P26" i="21"/>
  <c r="AQ25" i="21"/>
  <c r="AN25" i="21"/>
  <c r="AK25" i="21"/>
  <c r="AH25" i="21"/>
  <c r="AE25" i="21"/>
  <c r="AB25" i="21"/>
  <c r="Y25" i="21"/>
  <c r="V25" i="21"/>
  <c r="S25" i="21"/>
  <c r="P25" i="21"/>
  <c r="AQ24" i="21"/>
  <c r="AN24" i="21"/>
  <c r="AK24" i="21"/>
  <c r="AH24" i="21"/>
  <c r="AE24" i="21"/>
  <c r="AB24" i="21"/>
  <c r="Y24" i="21"/>
  <c r="V24" i="21"/>
  <c r="S24" i="21"/>
  <c r="P24" i="21"/>
  <c r="AQ23" i="21"/>
  <c r="AN23" i="21"/>
  <c r="AK23" i="21"/>
  <c r="AH23" i="21"/>
  <c r="AE23" i="21"/>
  <c r="AB23" i="21"/>
  <c r="Y23" i="21"/>
  <c r="V23" i="21"/>
  <c r="S23" i="21"/>
  <c r="P23" i="21"/>
  <c r="AQ21" i="21"/>
  <c r="AN21" i="21"/>
  <c r="AK21" i="21"/>
  <c r="AH21" i="21"/>
  <c r="AE21" i="21"/>
  <c r="AB21" i="21"/>
  <c r="Y21" i="21"/>
  <c r="V21" i="21"/>
  <c r="S21" i="21"/>
  <c r="P21" i="21"/>
  <c r="AQ20" i="21"/>
  <c r="AN20" i="21"/>
  <c r="AK20" i="21"/>
  <c r="AH20" i="21"/>
  <c r="AE20" i="21"/>
  <c r="AB20" i="21"/>
  <c r="Y20" i="21"/>
  <c r="V20" i="21"/>
  <c r="S20" i="21"/>
  <c r="P20" i="21"/>
  <c r="AQ19" i="21"/>
  <c r="AN19" i="21"/>
  <c r="AK19" i="21"/>
  <c r="AH19" i="21"/>
  <c r="AE19" i="21"/>
  <c r="AB19" i="21"/>
  <c r="Y19" i="21"/>
  <c r="V19" i="21"/>
  <c r="S19" i="21"/>
  <c r="P19" i="21"/>
  <c r="AQ18" i="21"/>
  <c r="AN18" i="21"/>
  <c r="AK18" i="21"/>
  <c r="AH18" i="21"/>
  <c r="AE18" i="21"/>
  <c r="AB18" i="21"/>
  <c r="Y18" i="21"/>
  <c r="V18" i="21"/>
  <c r="S18" i="21"/>
  <c r="P18" i="21"/>
  <c r="AQ13" i="21"/>
  <c r="AQ33" i="21" s="1"/>
  <c r="AN13" i="21"/>
  <c r="AN33" i="21" s="1"/>
  <c r="AK13" i="21"/>
  <c r="AK33" i="21" s="1"/>
  <c r="AH13" i="21"/>
  <c r="AH33" i="21" s="1"/>
  <c r="AE13" i="21"/>
  <c r="AE33" i="21" s="1"/>
  <c r="AB13" i="21"/>
  <c r="AB33" i="21" s="1"/>
  <c r="Y13" i="21"/>
  <c r="Y33" i="21" s="1"/>
  <c r="V13" i="21"/>
  <c r="V33" i="21" s="1"/>
  <c r="S13" i="21"/>
  <c r="S33" i="21" s="1"/>
  <c r="P13" i="21"/>
  <c r="P33" i="21" s="1"/>
  <c r="P12" i="21"/>
  <c r="S12" i="21"/>
  <c r="V12" i="21"/>
  <c r="Y12" i="21"/>
  <c r="AB12" i="21"/>
  <c r="AE12" i="21"/>
  <c r="AH12" i="21"/>
  <c r="AK12" i="21"/>
  <c r="AN12" i="21"/>
  <c r="AQ12" i="21"/>
  <c r="AQ11" i="21"/>
  <c r="AN11" i="21"/>
  <c r="AK11" i="21"/>
  <c r="AH11" i="21"/>
  <c r="AE11" i="21"/>
  <c r="AB11" i="21"/>
  <c r="Y11" i="21"/>
  <c r="V11" i="21"/>
  <c r="S11" i="21"/>
  <c r="P11" i="21"/>
  <c r="AQ10" i="21"/>
  <c r="AN10" i="21"/>
  <c r="AK10" i="21"/>
  <c r="AH10" i="21"/>
  <c r="AE10" i="21"/>
  <c r="AB10" i="21"/>
  <c r="Y10" i="21"/>
  <c r="V10" i="21"/>
  <c r="S10" i="21"/>
  <c r="P10" i="21"/>
  <c r="AQ9" i="21"/>
  <c r="AN9" i="21"/>
  <c r="AK9" i="21"/>
  <c r="AH9" i="21"/>
  <c r="AE9" i="21"/>
  <c r="AB9" i="21"/>
  <c r="Y9" i="21"/>
  <c r="S9" i="21"/>
  <c r="AQ8" i="21"/>
  <c r="AN8" i="21"/>
  <c r="AK8" i="21"/>
  <c r="AH8" i="21"/>
  <c r="AE8" i="21"/>
  <c r="AB8" i="21"/>
  <c r="Y8" i="21"/>
  <c r="V8" i="21"/>
  <c r="S8" i="21"/>
  <c r="P8" i="21"/>
  <c r="AQ6" i="21"/>
  <c r="AN6" i="21"/>
  <c r="AK6" i="21"/>
  <c r="AH6" i="21"/>
  <c r="AE6" i="21"/>
  <c r="AB6" i="21"/>
  <c r="Y6" i="21"/>
  <c r="V6" i="21"/>
  <c r="S6" i="21"/>
  <c r="P6" i="21"/>
  <c r="AQ5" i="21"/>
  <c r="AN5" i="21"/>
  <c r="AK5" i="21"/>
  <c r="AH5" i="21"/>
  <c r="AE5" i="21"/>
  <c r="AB5" i="21"/>
  <c r="Y5" i="21"/>
  <c r="V5" i="21"/>
  <c r="S5" i="21"/>
  <c r="P5" i="21"/>
  <c r="AQ4" i="21"/>
  <c r="AN4" i="21"/>
  <c r="AK4" i="21"/>
  <c r="AH4" i="21"/>
  <c r="AE4" i="21"/>
  <c r="AB4" i="21"/>
  <c r="Y4" i="21"/>
  <c r="V4" i="21"/>
  <c r="S4" i="21"/>
  <c r="P4" i="21"/>
  <c r="AQ3" i="21"/>
  <c r="P3" i="21"/>
  <c r="AN3" i="21"/>
  <c r="AK3" i="21"/>
  <c r="AH3" i="21"/>
  <c r="AE3" i="21"/>
  <c r="AB3" i="21"/>
  <c r="Y3" i="21"/>
  <c r="V3" i="21"/>
  <c r="S3" i="21"/>
  <c r="AF58" i="21" l="1"/>
  <c r="AD58" i="21"/>
  <c r="AC57" i="21"/>
  <c r="AA57" i="21"/>
  <c r="AC47" i="21"/>
  <c r="AA47" i="21"/>
  <c r="AF46" i="21"/>
  <c r="AD46" i="21"/>
  <c r="AF30" i="21"/>
  <c r="AD30" i="21"/>
  <c r="AG29" i="21"/>
  <c r="AI29" i="21"/>
  <c r="AF15" i="21"/>
  <c r="AD15" i="21"/>
  <c r="AD14" i="21"/>
  <c r="AF14" i="21"/>
  <c r="AC7" i="21"/>
  <c r="AD7" i="21" s="1"/>
  <c r="AF56" i="21"/>
  <c r="AD56" i="21"/>
  <c r="AF16" i="21"/>
  <c r="AD16" i="21"/>
  <c r="V40" i="21"/>
  <c r="Y40" i="21"/>
  <c r="S40" i="21"/>
  <c r="AQ40" i="21"/>
  <c r="AN40" i="21"/>
  <c r="P40" i="21"/>
  <c r="Q40" i="21" s="1"/>
  <c r="AB40" i="21"/>
  <c r="AK40" i="21"/>
  <c r="AE40" i="21"/>
  <c r="AH40" i="21"/>
  <c r="S53" i="21"/>
  <c r="AQ53" i="21"/>
  <c r="AA22" i="21"/>
  <c r="AC22" i="21"/>
  <c r="AC43" i="21"/>
  <c r="AA43" i="21"/>
  <c r="P53" i="21"/>
  <c r="AN53" i="21"/>
  <c r="Y52" i="21"/>
  <c r="AH54" i="21"/>
  <c r="V53" i="21"/>
  <c r="Y53" i="21"/>
  <c r="V32" i="21"/>
  <c r="AE52" i="21"/>
  <c r="AN54" i="21"/>
  <c r="AQ54" i="21"/>
  <c r="AB53" i="21"/>
  <c r="AH52" i="21"/>
  <c r="AN52" i="21"/>
  <c r="AE53" i="21"/>
  <c r="Y54" i="21"/>
  <c r="AB54" i="21"/>
  <c r="AH55" i="21"/>
  <c r="AK54" i="21"/>
  <c r="P54" i="21"/>
  <c r="S54" i="21"/>
  <c r="AK52" i="21"/>
  <c r="V54" i="21"/>
  <c r="P52" i="21"/>
  <c r="AH53" i="21"/>
  <c r="V52" i="21"/>
  <c r="AQ52" i="21"/>
  <c r="AK53" i="21"/>
  <c r="AE54" i="21"/>
  <c r="S52" i="21"/>
  <c r="AQ55" i="21"/>
  <c r="P55" i="21"/>
  <c r="Y39" i="21"/>
  <c r="S55" i="21"/>
  <c r="AB37" i="21"/>
  <c r="V55" i="21"/>
  <c r="AB36" i="21"/>
  <c r="AE32" i="21"/>
  <c r="P32" i="21"/>
  <c r="AN32" i="21"/>
  <c r="AB52" i="21"/>
  <c r="AK39" i="21"/>
  <c r="AK55" i="21"/>
  <c r="AN55" i="21"/>
  <c r="Y55" i="21"/>
  <c r="AB55" i="21"/>
  <c r="AE55" i="21"/>
  <c r="S37" i="21"/>
  <c r="AQ37" i="21"/>
  <c r="AH38" i="21"/>
  <c r="AH66" i="21" s="1"/>
  <c r="AK38" i="21"/>
  <c r="AK66" i="21" s="1"/>
  <c r="V35" i="21"/>
  <c r="AN36" i="21"/>
  <c r="S36" i="21"/>
  <c r="P36" i="21"/>
  <c r="V38" i="21"/>
  <c r="V66" i="21" s="1"/>
  <c r="AQ36" i="21"/>
  <c r="AE37" i="21"/>
  <c r="AE36" i="21"/>
  <c r="Y38" i="21"/>
  <c r="Y66" i="21" s="1"/>
  <c r="P34" i="21"/>
  <c r="AN38" i="21"/>
  <c r="AN66" i="21" s="1"/>
  <c r="AH34" i="21"/>
  <c r="AB38" i="21"/>
  <c r="AB66" i="21" s="1"/>
  <c r="V34" i="21"/>
  <c r="AH39" i="21"/>
  <c r="AB35" i="21"/>
  <c r="AB32" i="21"/>
  <c r="P35" i="21"/>
  <c r="P39" i="21"/>
  <c r="AH32" i="21"/>
  <c r="V36" i="21"/>
  <c r="AH36" i="21"/>
  <c r="S38" i="21"/>
  <c r="S66" i="21" s="1"/>
  <c r="AE38" i="21"/>
  <c r="AE66" i="21" s="1"/>
  <c r="AQ38" i="21"/>
  <c r="AQ66" i="21" s="1"/>
  <c r="P38" i="21"/>
  <c r="P66" i="21" s="1"/>
  <c r="AN35" i="21"/>
  <c r="AK32" i="21"/>
  <c r="P37" i="21"/>
  <c r="V37" i="21"/>
  <c r="AH37" i="21"/>
  <c r="AN37" i="21"/>
  <c r="S39" i="21"/>
  <c r="AE39" i="21"/>
  <c r="AQ39" i="21"/>
  <c r="AN34" i="21"/>
  <c r="AH35" i="21"/>
  <c r="AB39" i="21"/>
  <c r="S34" i="21"/>
  <c r="Y34" i="21"/>
  <c r="AE34" i="21"/>
  <c r="AK34" i="21"/>
  <c r="AQ34" i="21"/>
  <c r="AB34" i="21"/>
  <c r="AN39" i="21"/>
  <c r="S32" i="21"/>
  <c r="AQ32" i="21"/>
  <c r="S35" i="21"/>
  <c r="Y35" i="21"/>
  <c r="AE35" i="21"/>
  <c r="AK35" i="21"/>
  <c r="AQ35" i="21"/>
  <c r="V39" i="21"/>
  <c r="Y36" i="21"/>
  <c r="AK36" i="21"/>
  <c r="Y32" i="21"/>
  <c r="Y37" i="21"/>
  <c r="AK37" i="21"/>
  <c r="K51" i="21"/>
  <c r="N51" i="21" s="1"/>
  <c r="K44" i="21"/>
  <c r="E24" i="21"/>
  <c r="K24" i="21" s="1"/>
  <c r="E23" i="21"/>
  <c r="K23" i="21" s="1"/>
  <c r="Q23" i="21" s="1"/>
  <c r="K9" i="21"/>
  <c r="K8" i="21"/>
  <c r="AS81" i="21"/>
  <c r="AP81" i="21"/>
  <c r="AM81" i="21"/>
  <c r="AJ81" i="21"/>
  <c r="AG81" i="21"/>
  <c r="AD81" i="21"/>
  <c r="AA81" i="21"/>
  <c r="X81" i="21"/>
  <c r="U81" i="21"/>
  <c r="R81" i="21"/>
  <c r="K81" i="21"/>
  <c r="AS77" i="21"/>
  <c r="AP77" i="21"/>
  <c r="AM77" i="21"/>
  <c r="AJ77" i="21"/>
  <c r="AG77" i="21"/>
  <c r="AD77" i="21"/>
  <c r="AA77" i="21"/>
  <c r="X77" i="21"/>
  <c r="U77" i="21"/>
  <c r="R77" i="21"/>
  <c r="K77" i="21"/>
  <c r="K76" i="21"/>
  <c r="K75" i="21"/>
  <c r="E73" i="21"/>
  <c r="K73" i="21" s="1"/>
  <c r="K72" i="21"/>
  <c r="K66" i="21"/>
  <c r="N66" i="21" s="1"/>
  <c r="K65" i="21"/>
  <c r="N65" i="21" s="1"/>
  <c r="N63" i="21"/>
  <c r="K62" i="21"/>
  <c r="N62" i="21" s="1"/>
  <c r="K61" i="21"/>
  <c r="K60" i="21"/>
  <c r="N60" i="21" s="1"/>
  <c r="K59" i="21"/>
  <c r="N59" i="21" s="1"/>
  <c r="K55" i="21"/>
  <c r="K54" i="21"/>
  <c r="K53" i="21"/>
  <c r="K52" i="21"/>
  <c r="K50" i="21"/>
  <c r="N50" i="21" s="1"/>
  <c r="K45" i="21"/>
  <c r="Q45" i="21" s="1"/>
  <c r="K42" i="21"/>
  <c r="K39" i="21"/>
  <c r="K38" i="21"/>
  <c r="K37" i="21"/>
  <c r="K36" i="21"/>
  <c r="K35" i="21"/>
  <c r="K34" i="21"/>
  <c r="K33" i="21"/>
  <c r="K32" i="21"/>
  <c r="N32" i="21" s="1"/>
  <c r="E31" i="21"/>
  <c r="K31" i="21" s="1"/>
  <c r="E26" i="21"/>
  <c r="K26" i="21" s="1"/>
  <c r="Q26" i="21" s="1"/>
  <c r="E27" i="21"/>
  <c r="K27" i="21" s="1"/>
  <c r="Q27" i="21" s="1"/>
  <c r="E28" i="21"/>
  <c r="K28" i="21" s="1"/>
  <c r="Q28" i="21" s="1"/>
  <c r="T28" i="21" s="1"/>
  <c r="U28" i="21" s="1"/>
  <c r="E25" i="21"/>
  <c r="K25" i="21" s="1"/>
  <c r="Q25" i="21" s="1"/>
  <c r="K21" i="21"/>
  <c r="K20" i="21"/>
  <c r="Q20" i="21" s="1"/>
  <c r="K19" i="21"/>
  <c r="K18" i="21"/>
  <c r="Q18" i="21" s="1"/>
  <c r="K17" i="21"/>
  <c r="K11" i="21"/>
  <c r="N11" i="21" s="1"/>
  <c r="K12" i="21"/>
  <c r="K13" i="21"/>
  <c r="K10" i="21"/>
  <c r="N10" i="21" s="1"/>
  <c r="K6" i="21"/>
  <c r="K5" i="21"/>
  <c r="N5" i="21" s="1"/>
  <c r="K4" i="21"/>
  <c r="N4" i="21" s="1"/>
  <c r="K3" i="21"/>
  <c r="AI58" i="21" l="1"/>
  <c r="AG58" i="21"/>
  <c r="AD57" i="21"/>
  <c r="AF57" i="21"/>
  <c r="AD47" i="21"/>
  <c r="AF47" i="21"/>
  <c r="AI46" i="21"/>
  <c r="AG46" i="21"/>
  <c r="AL29" i="21"/>
  <c r="AJ29" i="21"/>
  <c r="AI30" i="21"/>
  <c r="AG30" i="21"/>
  <c r="AI15" i="21"/>
  <c r="AG15" i="21"/>
  <c r="AG14" i="21"/>
  <c r="AI14" i="21"/>
  <c r="AF7" i="21"/>
  <c r="AG7" i="21" s="1"/>
  <c r="T40" i="21"/>
  <c r="U40" i="21" s="1"/>
  <c r="AI56" i="21"/>
  <c r="AG56" i="21"/>
  <c r="AI16" i="21"/>
  <c r="AG16" i="21"/>
  <c r="AE65" i="21"/>
  <c r="AE67" i="21"/>
  <c r="R40" i="21"/>
  <c r="AH65" i="21"/>
  <c r="AH67" i="21"/>
  <c r="AK65" i="21"/>
  <c r="AK67" i="21"/>
  <c r="AB65" i="21"/>
  <c r="AB67" i="21"/>
  <c r="Y65" i="21"/>
  <c r="Y67" i="21"/>
  <c r="V65" i="21"/>
  <c r="V67" i="21"/>
  <c r="AN65" i="21"/>
  <c r="AN67" i="21"/>
  <c r="S65" i="21"/>
  <c r="S67" i="21"/>
  <c r="AQ65" i="21"/>
  <c r="AQ67" i="21"/>
  <c r="P65" i="21"/>
  <c r="Q65" i="21" s="1"/>
  <c r="R65" i="21" s="1"/>
  <c r="P67" i="21"/>
  <c r="Q67" i="21" s="1"/>
  <c r="AD22" i="21"/>
  <c r="AF22" i="21"/>
  <c r="AD43" i="21"/>
  <c r="AF43" i="21"/>
  <c r="Q38" i="21"/>
  <c r="R38" i="21" s="1"/>
  <c r="Q52" i="21"/>
  <c r="R52" i="21" s="1"/>
  <c r="R26" i="21"/>
  <c r="T26" i="21"/>
  <c r="U26" i="21" s="1"/>
  <c r="T45" i="21"/>
  <c r="W45" i="21" s="1"/>
  <c r="R45" i="21"/>
  <c r="T25" i="21"/>
  <c r="W25" i="21" s="1"/>
  <c r="R25" i="21"/>
  <c r="T20" i="21"/>
  <c r="U20" i="21" s="1"/>
  <c r="R20" i="21"/>
  <c r="R18" i="21"/>
  <c r="T18" i="21"/>
  <c r="W18" i="21" s="1"/>
  <c r="R28" i="21"/>
  <c r="N31" i="21"/>
  <c r="Q31" i="21"/>
  <c r="R27" i="21"/>
  <c r="T27" i="21"/>
  <c r="R23" i="21"/>
  <c r="T23" i="21"/>
  <c r="N19" i="21"/>
  <c r="Q19" i="21"/>
  <c r="N24" i="21"/>
  <c r="Q24" i="21"/>
  <c r="W28" i="21"/>
  <c r="Z28" i="21" s="1"/>
  <c r="N21" i="21"/>
  <c r="Q21" i="21"/>
  <c r="N44" i="21"/>
  <c r="Q44" i="21"/>
  <c r="Q66" i="21"/>
  <c r="T66" i="21" s="1"/>
  <c r="Q8" i="21"/>
  <c r="T8" i="21" s="1"/>
  <c r="Q34" i="21"/>
  <c r="T34" i="21" s="1"/>
  <c r="W34" i="21" s="1"/>
  <c r="X34" i="21" s="1"/>
  <c r="Q54" i="21"/>
  <c r="T54" i="21" s="1"/>
  <c r="U54" i="21" s="1"/>
  <c r="Q3" i="21"/>
  <c r="T3" i="21" s="1"/>
  <c r="W3" i="21" s="1"/>
  <c r="X3" i="21" s="1"/>
  <c r="Q36" i="21"/>
  <c r="R36" i="21" s="1"/>
  <c r="Q6" i="21"/>
  <c r="T6" i="21" s="1"/>
  <c r="Q33" i="21"/>
  <c r="R33" i="21" s="1"/>
  <c r="Q39" i="21"/>
  <c r="T39" i="21" s="1"/>
  <c r="Q55" i="21"/>
  <c r="R55" i="21" s="1"/>
  <c r="N74" i="21"/>
  <c r="Q37" i="21"/>
  <c r="T37" i="21" s="1"/>
  <c r="Q53" i="21"/>
  <c r="R53" i="21" s="1"/>
  <c r="Q13" i="21"/>
  <c r="T13" i="21" s="1"/>
  <c r="Q35" i="21"/>
  <c r="R35" i="21" s="1"/>
  <c r="Q9" i="21"/>
  <c r="T9" i="21" s="1"/>
  <c r="N54" i="21"/>
  <c r="N55" i="21"/>
  <c r="N23" i="21"/>
  <c r="N9" i="21"/>
  <c r="N8" i="21"/>
  <c r="Q32" i="21"/>
  <c r="T32" i="21" s="1"/>
  <c r="W32" i="21" s="1"/>
  <c r="N37" i="21"/>
  <c r="N39" i="21"/>
  <c r="N36" i="21"/>
  <c r="N38" i="21"/>
  <c r="Q4" i="21"/>
  <c r="T4" i="21" s="1"/>
  <c r="N18" i="21"/>
  <c r="N20" i="21"/>
  <c r="Q12" i="21"/>
  <c r="T12" i="21" s="1"/>
  <c r="N42" i="21"/>
  <c r="Q11" i="21"/>
  <c r="T11" i="21" s="1"/>
  <c r="N13" i="21"/>
  <c r="Q10" i="21"/>
  <c r="T10" i="21" s="1"/>
  <c r="N6" i="21"/>
  <c r="Q5" i="21"/>
  <c r="T5" i="21" s="1"/>
  <c r="N3" i="21"/>
  <c r="N25" i="21"/>
  <c r="N12" i="21"/>
  <c r="N17" i="21"/>
  <c r="N28" i="21"/>
  <c r="N26" i="21"/>
  <c r="N27" i="21"/>
  <c r="Q81" i="21"/>
  <c r="T81" i="21" s="1"/>
  <c r="W81" i="21" s="1"/>
  <c r="Z81" i="21" s="1"/>
  <c r="AC81" i="21" s="1"/>
  <c r="AF81" i="21" s="1"/>
  <c r="AI81" i="21" s="1"/>
  <c r="AL81" i="21" s="1"/>
  <c r="AO81" i="21" s="1"/>
  <c r="AR81" i="21" s="1"/>
  <c r="N81" i="21"/>
  <c r="N73" i="21"/>
  <c r="N45" i="21"/>
  <c r="Q77" i="21"/>
  <c r="T77" i="21" s="1"/>
  <c r="W77" i="21" s="1"/>
  <c r="Z77" i="21" s="1"/>
  <c r="AC77" i="21" s="1"/>
  <c r="AF77" i="21" s="1"/>
  <c r="AI77" i="21" s="1"/>
  <c r="AL77" i="21" s="1"/>
  <c r="AO77" i="21" s="1"/>
  <c r="AR77" i="21" s="1"/>
  <c r="N77" i="21"/>
  <c r="N52" i="21"/>
  <c r="N75" i="21"/>
  <c r="N76" i="21"/>
  <c r="N33" i="21"/>
  <c r="N34" i="21"/>
  <c r="N35" i="21"/>
  <c r="N53" i="21"/>
  <c r="N72" i="21"/>
  <c r="AJ58" i="21" l="1"/>
  <c r="AL58" i="21"/>
  <c r="AI57" i="21"/>
  <c r="AG57" i="21"/>
  <c r="AI47" i="21"/>
  <c r="AG47" i="21"/>
  <c r="AJ46" i="21"/>
  <c r="AL46" i="21"/>
  <c r="AJ30" i="21"/>
  <c r="AL30" i="21"/>
  <c r="AO29" i="21"/>
  <c r="AM29" i="21"/>
  <c r="AJ15" i="21"/>
  <c r="AL15" i="21"/>
  <c r="AJ14" i="21"/>
  <c r="AL14" i="21"/>
  <c r="AI7" i="21"/>
  <c r="AJ7" i="21" s="1"/>
  <c r="W40" i="21"/>
  <c r="X40" i="21" s="1"/>
  <c r="AL56" i="21"/>
  <c r="AJ56" i="21"/>
  <c r="AL16" i="21"/>
  <c r="AJ16" i="21"/>
  <c r="T67" i="21"/>
  <c r="R67" i="21"/>
  <c r="AG22" i="21"/>
  <c r="AI22" i="21"/>
  <c r="T52" i="21"/>
  <c r="W52" i="21" s="1"/>
  <c r="AG43" i="21"/>
  <c r="AI43" i="21"/>
  <c r="T38" i="21"/>
  <c r="U38" i="21" s="1"/>
  <c r="W26" i="21"/>
  <c r="Z26" i="21" s="1"/>
  <c r="W20" i="21"/>
  <c r="Z20" i="21" s="1"/>
  <c r="R3" i="21"/>
  <c r="R66" i="21"/>
  <c r="U18" i="21"/>
  <c r="U45" i="21"/>
  <c r="W23" i="21"/>
  <c r="U23" i="21"/>
  <c r="X28" i="21"/>
  <c r="R44" i="21"/>
  <c r="T44" i="21"/>
  <c r="T24" i="21"/>
  <c r="R24" i="21"/>
  <c r="W27" i="21"/>
  <c r="U27" i="21"/>
  <c r="T19" i="21"/>
  <c r="R19" i="21"/>
  <c r="T31" i="21"/>
  <c r="R31" i="21"/>
  <c r="T65" i="21"/>
  <c r="W65" i="21" s="1"/>
  <c r="U25" i="21"/>
  <c r="T21" i="21"/>
  <c r="R21" i="21"/>
  <c r="X45" i="21"/>
  <c r="Z45" i="21"/>
  <c r="Z18" i="21"/>
  <c r="X18" i="21"/>
  <c r="AC28" i="21"/>
  <c r="AA28" i="21"/>
  <c r="X25" i="21"/>
  <c r="Z25" i="21"/>
  <c r="T53" i="21"/>
  <c r="U53" i="21" s="1"/>
  <c r="T36" i="21"/>
  <c r="W36" i="21" s="1"/>
  <c r="R54" i="21"/>
  <c r="R8" i="21"/>
  <c r="Z34" i="21"/>
  <c r="AC34" i="21" s="1"/>
  <c r="U34" i="21"/>
  <c r="R34" i="21"/>
  <c r="W54" i="21"/>
  <c r="X54" i="21" s="1"/>
  <c r="R39" i="21"/>
  <c r="T35" i="21"/>
  <c r="U35" i="21" s="1"/>
  <c r="R6" i="21"/>
  <c r="R37" i="21"/>
  <c r="T33" i="21"/>
  <c r="W33" i="21" s="1"/>
  <c r="R9" i="21"/>
  <c r="R13" i="21"/>
  <c r="T55" i="21"/>
  <c r="W55" i="21" s="1"/>
  <c r="R10" i="21"/>
  <c r="R5" i="21"/>
  <c r="R4" i="21"/>
  <c r="U32" i="21"/>
  <c r="R32" i="21"/>
  <c r="U9" i="21"/>
  <c r="W9" i="21"/>
  <c r="U8" i="21"/>
  <c r="W8" i="21"/>
  <c r="R11" i="21"/>
  <c r="R12" i="21"/>
  <c r="U11" i="21"/>
  <c r="W11" i="21"/>
  <c r="W66" i="21"/>
  <c r="U66" i="21"/>
  <c r="X32" i="21"/>
  <c r="Z32" i="21"/>
  <c r="U5" i="21"/>
  <c r="W5" i="21"/>
  <c r="U12" i="21"/>
  <c r="W12" i="21"/>
  <c r="W37" i="21"/>
  <c r="U37" i="21"/>
  <c r="U4" i="21"/>
  <c r="W4" i="21"/>
  <c r="W39" i="21"/>
  <c r="U39" i="21"/>
  <c r="U10" i="21"/>
  <c r="W10" i="21"/>
  <c r="U13" i="21"/>
  <c r="W13" i="21"/>
  <c r="U6" i="21"/>
  <c r="W6" i="21"/>
  <c r="U3" i="21"/>
  <c r="AM58" i="21" l="1"/>
  <c r="AO58" i="21"/>
  <c r="AJ57" i="21"/>
  <c r="AL57" i="21"/>
  <c r="AJ47" i="21"/>
  <c r="AL47" i="21"/>
  <c r="AO46" i="21"/>
  <c r="AM46" i="21"/>
  <c r="AO30" i="21"/>
  <c r="AM30" i="21"/>
  <c r="AR29" i="21"/>
  <c r="AS29" i="21" s="1"/>
  <c r="AP29" i="21"/>
  <c r="AO15" i="21"/>
  <c r="AM15" i="21"/>
  <c r="AO14" i="21"/>
  <c r="AM14" i="21"/>
  <c r="Z40" i="21"/>
  <c r="AA40" i="21" s="1"/>
  <c r="AL7" i="21"/>
  <c r="AM7" i="21" s="1"/>
  <c r="AO56" i="21"/>
  <c r="AM56" i="21"/>
  <c r="AO16" i="21"/>
  <c r="AM16" i="21"/>
  <c r="W67" i="21"/>
  <c r="U67" i="21"/>
  <c r="W38" i="21"/>
  <c r="X38" i="21" s="1"/>
  <c r="X26" i="21"/>
  <c r="U52" i="21"/>
  <c r="AJ22" i="21"/>
  <c r="AL22" i="21"/>
  <c r="AJ43" i="21"/>
  <c r="AL43" i="21"/>
  <c r="X20" i="21"/>
  <c r="U65" i="21"/>
  <c r="AA34" i="21"/>
  <c r="U31" i="21"/>
  <c r="W31" i="21"/>
  <c r="Z27" i="21"/>
  <c r="X27" i="21"/>
  <c r="U44" i="21"/>
  <c r="W44" i="21"/>
  <c r="U19" i="21"/>
  <c r="W19" i="21"/>
  <c r="W53" i="21"/>
  <c r="X53" i="21" s="1"/>
  <c r="U21" i="21"/>
  <c r="W21" i="21"/>
  <c r="U24" i="21"/>
  <c r="W24" i="21"/>
  <c r="Z23" i="21"/>
  <c r="X23" i="21"/>
  <c r="AC45" i="21"/>
  <c r="AA45" i="21"/>
  <c r="AF28" i="21"/>
  <c r="AD28" i="21"/>
  <c r="AC25" i="21"/>
  <c r="AA25" i="21"/>
  <c r="AC26" i="21"/>
  <c r="AA26" i="21"/>
  <c r="AC20" i="21"/>
  <c r="AA20" i="21"/>
  <c r="AA18" i="21"/>
  <c r="AC18" i="21"/>
  <c r="U36" i="21"/>
  <c r="W35" i="21"/>
  <c r="X35" i="21" s="1"/>
  <c r="Z54" i="21"/>
  <c r="AC54" i="21" s="1"/>
  <c r="AF54" i="21" s="1"/>
  <c r="U33" i="21"/>
  <c r="U55" i="21"/>
  <c r="Z9" i="21"/>
  <c r="X9" i="21"/>
  <c r="Z8" i="21"/>
  <c r="X8" i="21"/>
  <c r="Z5" i="21"/>
  <c r="X5" i="21"/>
  <c r="Z3" i="21"/>
  <c r="AC32" i="21"/>
  <c r="AA32" i="21"/>
  <c r="X55" i="21"/>
  <c r="Z55" i="21"/>
  <c r="Z4" i="21"/>
  <c r="X4" i="21"/>
  <c r="Z6" i="21"/>
  <c r="X6" i="21"/>
  <c r="Z12" i="21"/>
  <c r="X12" i="21"/>
  <c r="X39" i="21"/>
  <c r="Z39" i="21"/>
  <c r="X37" i="21"/>
  <c r="Z37" i="21"/>
  <c r="X36" i="21"/>
  <c r="Z36" i="21"/>
  <c r="X52" i="21"/>
  <c r="Z52" i="21"/>
  <c r="Z11" i="21"/>
  <c r="X11" i="21"/>
  <c r="X65" i="21"/>
  <c r="Z65" i="21"/>
  <c r="Z13" i="21"/>
  <c r="X13" i="21"/>
  <c r="Z10" i="21"/>
  <c r="X10" i="21"/>
  <c r="AF34" i="21"/>
  <c r="AD34" i="21"/>
  <c r="X33" i="21"/>
  <c r="Z33" i="21"/>
  <c r="X66" i="21"/>
  <c r="Z66" i="21"/>
  <c r="AO7" i="21" l="1"/>
  <c r="AR58" i="21"/>
  <c r="AS58" i="21" s="1"/>
  <c r="AP58" i="21"/>
  <c r="AO57" i="21"/>
  <c r="AM57" i="21"/>
  <c r="AO47" i="21"/>
  <c r="AM47" i="21"/>
  <c r="AR46" i="21"/>
  <c r="AS46" i="21" s="1"/>
  <c r="AP46" i="21"/>
  <c r="AR30" i="21"/>
  <c r="AS30" i="21" s="1"/>
  <c r="AP30" i="21"/>
  <c r="AR15" i="21"/>
  <c r="AS15" i="21" s="1"/>
  <c r="AP15" i="21"/>
  <c r="AR14" i="21"/>
  <c r="AS14" i="21" s="1"/>
  <c r="AP14" i="21"/>
  <c r="AC40" i="21"/>
  <c r="AF40" i="21" s="1"/>
  <c r="AR56" i="21"/>
  <c r="AS56" i="21" s="1"/>
  <c r="AP56" i="21"/>
  <c r="AR16" i="21"/>
  <c r="AS16" i="21" s="1"/>
  <c r="AP16" i="21"/>
  <c r="Z38" i="21"/>
  <c r="AC38" i="21" s="1"/>
  <c r="Z67" i="21"/>
  <c r="X67" i="21"/>
  <c r="AM22" i="21"/>
  <c r="AO22" i="21"/>
  <c r="AM43" i="21"/>
  <c r="AO43" i="21"/>
  <c r="AP7" i="21"/>
  <c r="AR7" i="21"/>
  <c r="AS7" i="21" s="1"/>
  <c r="AD54" i="21"/>
  <c r="Z53" i="21"/>
  <c r="AC53" i="21" s="1"/>
  <c r="X21" i="21"/>
  <c r="Z21" i="21"/>
  <c r="Z44" i="21"/>
  <c r="X44" i="21"/>
  <c r="AA23" i="21"/>
  <c r="AC23" i="21"/>
  <c r="AA27" i="21"/>
  <c r="AC27" i="21"/>
  <c r="Z19" i="21"/>
  <c r="X19" i="21"/>
  <c r="Z24" i="21"/>
  <c r="X24" i="21"/>
  <c r="X31" i="21"/>
  <c r="Z31" i="21"/>
  <c r="AD45" i="21"/>
  <c r="AF45" i="21"/>
  <c r="AF18" i="21"/>
  <c r="AD18" i="21"/>
  <c r="AF26" i="21"/>
  <c r="AD26" i="21"/>
  <c r="AD25" i="21"/>
  <c r="AF25" i="21"/>
  <c r="AD20" i="21"/>
  <c r="AF20" i="21"/>
  <c r="AG28" i="21"/>
  <c r="AI28" i="21"/>
  <c r="Z35" i="21"/>
  <c r="AC35" i="21" s="1"/>
  <c r="AA54" i="21"/>
  <c r="AC9" i="21"/>
  <c r="AA9" i="21"/>
  <c r="AC8" i="21"/>
  <c r="AA8" i="21"/>
  <c r="AC65" i="21"/>
  <c r="AA65" i="21"/>
  <c r="AC12" i="21"/>
  <c r="AA12" i="21"/>
  <c r="AC4" i="21"/>
  <c r="AA4" i="21"/>
  <c r="AF32" i="21"/>
  <c r="AD32" i="21"/>
  <c r="AC36" i="21"/>
  <c r="AA36" i="21"/>
  <c r="AC3" i="21"/>
  <c r="AA3" i="21"/>
  <c r="AC66" i="21"/>
  <c r="AA66" i="21"/>
  <c r="AC52" i="21"/>
  <c r="AA52" i="21"/>
  <c r="AC33" i="21"/>
  <c r="AA33" i="21"/>
  <c r="AG34" i="21"/>
  <c r="AI34" i="21"/>
  <c r="AC13" i="21"/>
  <c r="AA13" i="21"/>
  <c r="AC5" i="21"/>
  <c r="AA5" i="21"/>
  <c r="AC11" i="21"/>
  <c r="AA11" i="21"/>
  <c r="AC6" i="21"/>
  <c r="AA6" i="21"/>
  <c r="AC37" i="21"/>
  <c r="AA37" i="21"/>
  <c r="AC55" i="21"/>
  <c r="AA55" i="21"/>
  <c r="AC39" i="21"/>
  <c r="AA39" i="21"/>
  <c r="AC10" i="21"/>
  <c r="AA10" i="21"/>
  <c r="AG54" i="21"/>
  <c r="AI54" i="21"/>
  <c r="AA38" i="21" l="1"/>
  <c r="AR57" i="21"/>
  <c r="AS57" i="21" s="1"/>
  <c r="AP57" i="21"/>
  <c r="AR47" i="21"/>
  <c r="AS47" i="21" s="1"/>
  <c r="AP47" i="21"/>
  <c r="AD40" i="21"/>
  <c r="AC67" i="21"/>
  <c r="AA67" i="21"/>
  <c r="AG40" i="21"/>
  <c r="AI40" i="21"/>
  <c r="AP22" i="21"/>
  <c r="AR22" i="21"/>
  <c r="AS22" i="21" s="1"/>
  <c r="AP43" i="21"/>
  <c r="AR43" i="21"/>
  <c r="AS43" i="21" s="1"/>
  <c r="AA53" i="21"/>
  <c r="AC24" i="21"/>
  <c r="AA24" i="21"/>
  <c r="AC19" i="21"/>
  <c r="AA19" i="21"/>
  <c r="AF23" i="21"/>
  <c r="AD23" i="21"/>
  <c r="AA35" i="21"/>
  <c r="AF27" i="21"/>
  <c r="AD27" i="21"/>
  <c r="AC31" i="21"/>
  <c r="AA31" i="21"/>
  <c r="AA44" i="21"/>
  <c r="AC44" i="21"/>
  <c r="AC21" i="21"/>
  <c r="AA21" i="21"/>
  <c r="AG45" i="21"/>
  <c r="AI45" i="21"/>
  <c r="AI25" i="21"/>
  <c r="AG25" i="21"/>
  <c r="AJ28" i="21"/>
  <c r="AL28" i="21"/>
  <c r="AG26" i="21"/>
  <c r="AI26" i="21"/>
  <c r="AI20" i="21"/>
  <c r="AG20" i="21"/>
  <c r="AI18" i="21"/>
  <c r="AG18" i="21"/>
  <c r="AD9" i="21"/>
  <c r="AF9" i="21"/>
  <c r="AF8" i="21"/>
  <c r="AD8" i="21"/>
  <c r="AD52" i="21"/>
  <c r="AF52" i="21"/>
  <c r="AL54" i="21"/>
  <c r="AJ54" i="21"/>
  <c r="AF35" i="21"/>
  <c r="AD35" i="21"/>
  <c r="AF55" i="21"/>
  <c r="AD55" i="21"/>
  <c r="AF33" i="21"/>
  <c r="AD33" i="21"/>
  <c r="AG32" i="21"/>
  <c r="AI32" i="21"/>
  <c r="AD10" i="21"/>
  <c r="AF10" i="21"/>
  <c r="AD5" i="21"/>
  <c r="AF5" i="21"/>
  <c r="AF66" i="21"/>
  <c r="AD66" i="21"/>
  <c r="AF4" i="21"/>
  <c r="AD4" i="21"/>
  <c r="AL34" i="21"/>
  <c r="AJ34" i="21"/>
  <c r="AF53" i="21"/>
  <c r="AD53" i="21"/>
  <c r="AF37" i="21"/>
  <c r="AD37" i="21"/>
  <c r="AF38" i="21"/>
  <c r="AD38" i="21"/>
  <c r="AF6" i="21"/>
  <c r="AD6" i="21"/>
  <c r="AF12" i="21"/>
  <c r="AD12" i="21"/>
  <c r="AF39" i="21"/>
  <c r="AD39" i="21"/>
  <c r="AF11" i="21"/>
  <c r="AD11" i="21"/>
  <c r="AD13" i="21"/>
  <c r="AF13" i="21"/>
  <c r="AF3" i="21"/>
  <c r="AD3" i="21"/>
  <c r="AF36" i="21"/>
  <c r="AD36" i="21"/>
  <c r="AF65" i="21"/>
  <c r="AD65" i="21"/>
  <c r="AD67" i="21" l="1"/>
  <c r="AF67" i="21"/>
  <c r="AJ40" i="21"/>
  <c r="AL40" i="21"/>
  <c r="AI23" i="21"/>
  <c r="AG23" i="21"/>
  <c r="AF31" i="21"/>
  <c r="AD31" i="21"/>
  <c r="AF19" i="21"/>
  <c r="AD19" i="21"/>
  <c r="AF21" i="21"/>
  <c r="AD21" i="21"/>
  <c r="AI27" i="21"/>
  <c r="AG27" i="21"/>
  <c r="AF44" i="21"/>
  <c r="AD44" i="21"/>
  <c r="AD24" i="21"/>
  <c r="AF24" i="21"/>
  <c r="AL45" i="21"/>
  <c r="AJ45" i="21"/>
  <c r="AL26" i="21"/>
  <c r="AJ26" i="21"/>
  <c r="AJ18" i="21"/>
  <c r="AL18" i="21"/>
  <c r="AO28" i="21"/>
  <c r="AM28" i="21"/>
  <c r="AL20" i="21"/>
  <c r="AJ20" i="21"/>
  <c r="AL25" i="21"/>
  <c r="AJ25" i="21"/>
  <c r="AI9" i="21"/>
  <c r="AG9" i="21"/>
  <c r="AI8" i="21"/>
  <c r="AG8" i="21"/>
  <c r="AI12" i="21"/>
  <c r="AG12" i="21"/>
  <c r="AJ32" i="21"/>
  <c r="AL32" i="21"/>
  <c r="AI13" i="21"/>
  <c r="AG13" i="21"/>
  <c r="AI10" i="21"/>
  <c r="AG10" i="21"/>
  <c r="AI52" i="21"/>
  <c r="AG52" i="21"/>
  <c r="AI65" i="21"/>
  <c r="AG65" i="21"/>
  <c r="AG55" i="21"/>
  <c r="AI55" i="21"/>
  <c r="AG39" i="21"/>
  <c r="AI39" i="21"/>
  <c r="AI6" i="21"/>
  <c r="AG6" i="21"/>
  <c r="AG37" i="21"/>
  <c r="AI37" i="21"/>
  <c r="AG53" i="21"/>
  <c r="AI53" i="21"/>
  <c r="AG33" i="21"/>
  <c r="AI33" i="21"/>
  <c r="AO54" i="21"/>
  <c r="AM54" i="21"/>
  <c r="AI3" i="21"/>
  <c r="AG3" i="21"/>
  <c r="AI4" i="21"/>
  <c r="AG4" i="21"/>
  <c r="AI5" i="21"/>
  <c r="AG5" i="21"/>
  <c r="AI11" i="21"/>
  <c r="AG11" i="21"/>
  <c r="AG36" i="21"/>
  <c r="AI36" i="21"/>
  <c r="AG38" i="21"/>
  <c r="AI38" i="21"/>
  <c r="AO34" i="21"/>
  <c r="AM34" i="21"/>
  <c r="AI66" i="21"/>
  <c r="AG66" i="21"/>
  <c r="AG35" i="21"/>
  <c r="AI35" i="21"/>
  <c r="AI67" i="21" l="1"/>
  <c r="AG67" i="21"/>
  <c r="AM40" i="21"/>
  <c r="AO40" i="21"/>
  <c r="AG24" i="21"/>
  <c r="AI24" i="21"/>
  <c r="AI21" i="21"/>
  <c r="AG21" i="21"/>
  <c r="AG31" i="21"/>
  <c r="AI31" i="21"/>
  <c r="AG19" i="21"/>
  <c r="AI19" i="21"/>
  <c r="AG44" i="21"/>
  <c r="AI44" i="21"/>
  <c r="AJ27" i="21"/>
  <c r="AL27" i="21"/>
  <c r="AL23" i="21"/>
  <c r="AJ23" i="21"/>
  <c r="AM45" i="21"/>
  <c r="AO45" i="21"/>
  <c r="AM20" i="21"/>
  <c r="AO20" i="21"/>
  <c r="AO18" i="21"/>
  <c r="AM18" i="21"/>
  <c r="AM25" i="21"/>
  <c r="AO25" i="21"/>
  <c r="AR28" i="21"/>
  <c r="AS28" i="21" s="1"/>
  <c r="AP28" i="21"/>
  <c r="AO26" i="21"/>
  <c r="AM26" i="21"/>
  <c r="AJ9" i="21"/>
  <c r="AL9" i="21"/>
  <c r="AJ8" i="21"/>
  <c r="AL8" i="21"/>
  <c r="AJ3" i="21"/>
  <c r="AL3" i="21"/>
  <c r="AJ52" i="21"/>
  <c r="AL52" i="21"/>
  <c r="AL35" i="21"/>
  <c r="AJ35" i="21"/>
  <c r="AL38" i="21"/>
  <c r="AJ38" i="21"/>
  <c r="AL36" i="21"/>
  <c r="AJ36" i="21"/>
  <c r="AL37" i="21"/>
  <c r="AJ37" i="21"/>
  <c r="AL55" i="21"/>
  <c r="AJ55" i="21"/>
  <c r="AL33" i="21"/>
  <c r="AJ33" i="21"/>
  <c r="AL39" i="21"/>
  <c r="AJ39" i="21"/>
  <c r="AJ11" i="21"/>
  <c r="AL11" i="21"/>
  <c r="AJ10" i="21"/>
  <c r="AL10" i="21"/>
  <c r="AJ66" i="21"/>
  <c r="AL66" i="21"/>
  <c r="AJ4" i="21"/>
  <c r="AL4" i="21"/>
  <c r="AR54" i="21"/>
  <c r="AS54" i="21" s="1"/>
  <c r="AP54" i="21"/>
  <c r="AJ12" i="21"/>
  <c r="AL12" i="21"/>
  <c r="AJ53" i="21"/>
  <c r="AL53" i="21"/>
  <c r="AO32" i="21"/>
  <c r="AM32" i="21"/>
  <c r="AR34" i="21"/>
  <c r="AS34" i="21" s="1"/>
  <c r="AP34" i="21"/>
  <c r="AJ5" i="21"/>
  <c r="AL5" i="21"/>
  <c r="AJ6" i="21"/>
  <c r="AL6" i="21"/>
  <c r="AJ65" i="21"/>
  <c r="AL65" i="21"/>
  <c r="AJ13" i="21"/>
  <c r="AL13" i="21"/>
  <c r="AJ67" i="21" l="1"/>
  <c r="AL67" i="21"/>
  <c r="AP40" i="21"/>
  <c r="AR40" i="21"/>
  <c r="AS40" i="21" s="1"/>
  <c r="AL19" i="21"/>
  <c r="AJ19" i="21"/>
  <c r="AO23" i="21"/>
  <c r="AM23" i="21"/>
  <c r="AL44" i="21"/>
  <c r="AJ44" i="21"/>
  <c r="AM27" i="21"/>
  <c r="AO27" i="21"/>
  <c r="AJ31" i="21"/>
  <c r="AL31" i="21"/>
  <c r="AJ24" i="21"/>
  <c r="AL24" i="21"/>
  <c r="AL21" i="21"/>
  <c r="AJ21" i="21"/>
  <c r="AR45" i="21"/>
  <c r="AS45" i="21" s="1"/>
  <c r="AP45" i="21"/>
  <c r="AR18" i="21"/>
  <c r="AS18" i="21" s="1"/>
  <c r="AP18" i="21"/>
  <c r="AR25" i="21"/>
  <c r="AS25" i="21" s="1"/>
  <c r="AP25" i="21"/>
  <c r="AR20" i="21"/>
  <c r="AS20" i="21" s="1"/>
  <c r="AP20" i="21"/>
  <c r="AP26" i="21"/>
  <c r="AR26" i="21"/>
  <c r="AS26" i="21" s="1"/>
  <c r="AO9" i="21"/>
  <c r="AM9" i="21"/>
  <c r="AO8" i="21"/>
  <c r="AM8" i="21"/>
  <c r="AM66" i="21"/>
  <c r="AO66" i="21"/>
  <c r="AO12" i="21"/>
  <c r="AM12" i="21"/>
  <c r="AO52" i="21"/>
  <c r="AM52" i="21"/>
  <c r="AM5" i="21"/>
  <c r="AO5" i="21"/>
  <c r="AO11" i="21"/>
  <c r="AM11" i="21"/>
  <c r="AM4" i="21"/>
  <c r="AO4" i="21"/>
  <c r="AM3" i="21"/>
  <c r="AO3" i="21"/>
  <c r="AM65" i="21"/>
  <c r="AO65" i="21"/>
  <c r="AO35" i="21"/>
  <c r="AM35" i="21"/>
  <c r="AO36" i="21"/>
  <c r="AM36" i="21"/>
  <c r="AO37" i="21"/>
  <c r="AM37" i="21"/>
  <c r="AO6" i="21"/>
  <c r="AM6" i="21"/>
  <c r="AO13" i="21"/>
  <c r="AM13" i="21"/>
  <c r="AO53" i="21"/>
  <c r="AM53" i="21"/>
  <c r="AM10" i="21"/>
  <c r="AO10" i="21"/>
  <c r="AO33" i="21"/>
  <c r="AM33" i="21"/>
  <c r="AR32" i="21"/>
  <c r="AS32" i="21" s="1"/>
  <c r="AP32" i="21"/>
  <c r="AO39" i="21"/>
  <c r="AM39" i="21"/>
  <c r="AO55" i="21"/>
  <c r="AM55" i="21"/>
  <c r="AO38" i="21"/>
  <c r="AM38" i="21"/>
  <c r="AO67" i="21" l="1"/>
  <c r="AM67" i="21"/>
  <c r="AO31" i="21"/>
  <c r="AM31" i="21"/>
  <c r="AR23" i="21"/>
  <c r="AS23" i="21" s="1"/>
  <c r="AP23" i="21"/>
  <c r="AM21" i="21"/>
  <c r="AO21" i="21"/>
  <c r="AM24" i="21"/>
  <c r="AO24" i="21"/>
  <c r="AP27" i="21"/>
  <c r="AR27" i="21"/>
  <c r="AS27" i="21" s="1"/>
  <c r="AO44" i="21"/>
  <c r="AM44" i="21"/>
  <c r="AM19" i="21"/>
  <c r="AO19" i="21"/>
  <c r="AR9" i="21"/>
  <c r="AS9" i="21" s="1"/>
  <c r="AP9" i="21"/>
  <c r="AR8" i="21"/>
  <c r="AS8" i="21" s="1"/>
  <c r="AP8" i="21"/>
  <c r="AR10" i="21"/>
  <c r="AS10" i="21" s="1"/>
  <c r="AP10" i="21"/>
  <c r="AR4" i="21"/>
  <c r="AS4" i="21" s="1"/>
  <c r="AP4" i="21"/>
  <c r="AR38" i="21"/>
  <c r="AS38" i="21" s="1"/>
  <c r="AP38" i="21"/>
  <c r="AR37" i="21"/>
  <c r="AS37" i="21" s="1"/>
  <c r="AP37" i="21"/>
  <c r="AR12" i="21"/>
  <c r="AS12" i="21" s="1"/>
  <c r="AP12" i="21"/>
  <c r="AR33" i="21"/>
  <c r="AS33" i="21" s="1"/>
  <c r="AP33" i="21"/>
  <c r="AR11" i="21"/>
  <c r="AS11" i="21" s="1"/>
  <c r="AP11" i="21"/>
  <c r="AR65" i="21"/>
  <c r="AS65" i="21" s="1"/>
  <c r="AP65" i="21"/>
  <c r="AR5" i="21"/>
  <c r="AS5" i="21" s="1"/>
  <c r="AP5" i="21"/>
  <c r="AR13" i="21"/>
  <c r="AS13" i="21" s="1"/>
  <c r="AP13" i="21"/>
  <c r="AR53" i="21"/>
  <c r="AS53" i="21" s="1"/>
  <c r="AP53" i="21"/>
  <c r="AR35" i="21"/>
  <c r="AS35" i="21" s="1"/>
  <c r="AP35" i="21"/>
  <c r="AR3" i="21"/>
  <c r="AS3" i="21" s="1"/>
  <c r="AP3" i="21"/>
  <c r="AR66" i="21"/>
  <c r="AS66" i="21" s="1"/>
  <c r="AP66" i="21"/>
  <c r="AR55" i="21"/>
  <c r="AS55" i="21" s="1"/>
  <c r="AP55" i="21"/>
  <c r="AR39" i="21"/>
  <c r="AS39" i="21" s="1"/>
  <c r="AP39" i="21"/>
  <c r="AR6" i="21"/>
  <c r="AS6" i="21" s="1"/>
  <c r="AP6" i="21"/>
  <c r="AR36" i="21"/>
  <c r="AS36" i="21" s="1"/>
  <c r="AP36" i="21"/>
  <c r="AP52" i="21"/>
  <c r="AR52" i="21"/>
  <c r="AS52" i="21" s="1"/>
  <c r="AR67" i="21" l="1"/>
  <c r="AS67" i="21" s="1"/>
  <c r="AP67" i="21"/>
  <c r="AR24" i="21"/>
  <c r="AS24" i="21" s="1"/>
  <c r="AP24" i="21"/>
  <c r="AR21" i="21"/>
  <c r="AS21" i="21" s="1"/>
  <c r="AP21" i="21"/>
  <c r="AR19" i="21"/>
  <c r="AS19" i="21" s="1"/>
  <c r="AP19" i="21"/>
  <c r="AP31" i="21"/>
  <c r="AR31" i="21"/>
  <c r="AS31" i="21" s="1"/>
  <c r="AP44" i="21"/>
  <c r="AR44" i="21"/>
  <c r="AS44" i="21" s="1"/>
  <c r="M77" i="19" l="1"/>
  <c r="N76" i="19"/>
  <c r="O74" i="19"/>
  <c r="N74" i="19"/>
  <c r="M74" i="19"/>
  <c r="O76" i="19"/>
  <c r="I442" i="19"/>
  <c r="H442" i="19"/>
  <c r="G442" i="19"/>
  <c r="F442" i="19"/>
  <c r="E442" i="19"/>
  <c r="D442" i="19"/>
  <c r="C442" i="19"/>
  <c r="I437" i="19"/>
  <c r="H437" i="19"/>
  <c r="G437" i="19"/>
  <c r="F437" i="19"/>
  <c r="E437" i="19"/>
  <c r="D437" i="19"/>
  <c r="C437" i="19"/>
  <c r="I432" i="19"/>
  <c r="H432" i="19"/>
  <c r="G432" i="19"/>
  <c r="F432" i="19"/>
  <c r="E432" i="19"/>
  <c r="D432" i="19"/>
  <c r="C432" i="19"/>
  <c r="I427" i="19"/>
  <c r="H427" i="19"/>
  <c r="G427" i="19"/>
  <c r="F427" i="19"/>
  <c r="E427" i="19"/>
  <c r="D427" i="19"/>
  <c r="C427" i="19"/>
  <c r="I422" i="19"/>
  <c r="H422" i="19"/>
  <c r="H423" i="19" s="1"/>
  <c r="G422" i="19"/>
  <c r="F422" i="19"/>
  <c r="E422" i="19"/>
  <c r="D422" i="19"/>
  <c r="C422" i="19"/>
  <c r="I424" i="19"/>
  <c r="H424" i="19"/>
  <c r="G424" i="19"/>
  <c r="F424" i="19"/>
  <c r="E424" i="19"/>
  <c r="D424" i="19"/>
  <c r="C424" i="19"/>
  <c r="I417" i="19"/>
  <c r="H417" i="19"/>
  <c r="G417" i="19"/>
  <c r="F417" i="19"/>
  <c r="E417" i="19"/>
  <c r="D417" i="19"/>
  <c r="C417" i="19"/>
  <c r="I419" i="19"/>
  <c r="H419" i="19"/>
  <c r="G419" i="19"/>
  <c r="F419" i="19"/>
  <c r="E419" i="19"/>
  <c r="D419" i="19"/>
  <c r="C419" i="19"/>
  <c r="I407" i="19"/>
  <c r="H407" i="19"/>
  <c r="G407" i="19"/>
  <c r="F407" i="19"/>
  <c r="E407" i="19"/>
  <c r="D407" i="19"/>
  <c r="C407" i="19"/>
  <c r="I402" i="19"/>
  <c r="H402" i="19"/>
  <c r="G402" i="19"/>
  <c r="F402" i="19"/>
  <c r="E402" i="19"/>
  <c r="D402" i="19"/>
  <c r="C402" i="19"/>
  <c r="I397" i="19"/>
  <c r="H397" i="19"/>
  <c r="G397" i="19"/>
  <c r="F397" i="19"/>
  <c r="E397" i="19"/>
  <c r="D397" i="19"/>
  <c r="C397" i="19"/>
  <c r="I392" i="19"/>
  <c r="H392" i="19"/>
  <c r="G392" i="19"/>
  <c r="F392" i="19"/>
  <c r="E392" i="19"/>
  <c r="D392" i="19"/>
  <c r="C392" i="19"/>
  <c r="I259" i="19"/>
  <c r="H259" i="19"/>
  <c r="G259" i="19"/>
  <c r="F259" i="19"/>
  <c r="E259" i="19"/>
  <c r="D259" i="19"/>
  <c r="C259" i="19"/>
  <c r="I254" i="19"/>
  <c r="I263" i="19" s="1"/>
  <c r="H254" i="19"/>
  <c r="H263" i="19" s="1"/>
  <c r="G254" i="19"/>
  <c r="G263" i="19" s="1"/>
  <c r="F254" i="19"/>
  <c r="F263" i="19" s="1"/>
  <c r="E254" i="19"/>
  <c r="E263" i="19" s="1"/>
  <c r="D254" i="19"/>
  <c r="D263" i="19" s="1"/>
  <c r="I253" i="19"/>
  <c r="I262" i="19" s="1"/>
  <c r="H253" i="19"/>
  <c r="H262" i="19" s="1"/>
  <c r="G253" i="19"/>
  <c r="G262" i="19" s="1"/>
  <c r="F253" i="19"/>
  <c r="F262" i="19" s="1"/>
  <c r="E253" i="19"/>
  <c r="E262" i="19" s="1"/>
  <c r="D253" i="19"/>
  <c r="D262" i="19" s="1"/>
  <c r="I252" i="19"/>
  <c r="I261" i="19" s="1"/>
  <c r="H252" i="19"/>
  <c r="H261" i="19" s="1"/>
  <c r="G252" i="19"/>
  <c r="G261" i="19" s="1"/>
  <c r="F252" i="19"/>
  <c r="F261" i="19" s="1"/>
  <c r="E252" i="19"/>
  <c r="E261" i="19" s="1"/>
  <c r="D252" i="19"/>
  <c r="D261" i="19" s="1"/>
  <c r="I251" i="19"/>
  <c r="I260" i="19" s="1"/>
  <c r="H251" i="19"/>
  <c r="H260" i="19" s="1"/>
  <c r="G251" i="19"/>
  <c r="G260" i="19" s="1"/>
  <c r="F251" i="19"/>
  <c r="F260" i="19" s="1"/>
  <c r="F448" i="19" s="1"/>
  <c r="E251" i="19"/>
  <c r="E260" i="19" s="1"/>
  <c r="E448" i="19" s="1"/>
  <c r="D251" i="19"/>
  <c r="D260" i="19" s="1"/>
  <c r="D448" i="19" s="1"/>
  <c r="C254" i="19"/>
  <c r="C263" i="19" s="1"/>
  <c r="C253" i="19"/>
  <c r="C262" i="19" s="1"/>
  <c r="C252" i="19"/>
  <c r="C261" i="19" s="1"/>
  <c r="I246" i="19"/>
  <c r="H246" i="19"/>
  <c r="G246" i="19"/>
  <c r="F246" i="19"/>
  <c r="E246" i="19"/>
  <c r="D246" i="19"/>
  <c r="C246" i="19"/>
  <c r="I233" i="19"/>
  <c r="H233" i="19"/>
  <c r="G233" i="19"/>
  <c r="F233" i="19"/>
  <c r="E233" i="19"/>
  <c r="D233" i="19"/>
  <c r="C233" i="19"/>
  <c r="I220" i="19"/>
  <c r="H220" i="19"/>
  <c r="G220" i="19"/>
  <c r="F220" i="19"/>
  <c r="E220" i="19"/>
  <c r="D220" i="19"/>
  <c r="C220" i="19"/>
  <c r="I190" i="19"/>
  <c r="I199" i="19" s="1"/>
  <c r="H190" i="19"/>
  <c r="H199" i="19" s="1"/>
  <c r="G190" i="19"/>
  <c r="G199" i="19" s="1"/>
  <c r="F190" i="19"/>
  <c r="F199" i="19" s="1"/>
  <c r="E190" i="19"/>
  <c r="E199" i="19" s="1"/>
  <c r="D190" i="19"/>
  <c r="D199" i="19" s="1"/>
  <c r="I189" i="19"/>
  <c r="I198" i="19" s="1"/>
  <c r="H189" i="19"/>
  <c r="G189" i="19"/>
  <c r="G198" i="19" s="1"/>
  <c r="F189" i="19"/>
  <c r="F198" i="19" s="1"/>
  <c r="E189" i="19"/>
  <c r="E198" i="19" s="1"/>
  <c r="D189" i="19"/>
  <c r="D198" i="19" s="1"/>
  <c r="I188" i="19"/>
  <c r="I197" i="19" s="1"/>
  <c r="H188" i="19"/>
  <c r="H197" i="19" s="1"/>
  <c r="G188" i="19"/>
  <c r="G197" i="19" s="1"/>
  <c r="F188" i="19"/>
  <c r="E188" i="19"/>
  <c r="E197" i="19" s="1"/>
  <c r="D188" i="19"/>
  <c r="D197" i="19" s="1"/>
  <c r="I187" i="19"/>
  <c r="I196" i="19" s="1"/>
  <c r="H187" i="19"/>
  <c r="H196" i="19" s="1"/>
  <c r="G187" i="19"/>
  <c r="G196" i="19" s="1"/>
  <c r="F187" i="19"/>
  <c r="F196" i="19" s="1"/>
  <c r="E187" i="19"/>
  <c r="E196" i="19" s="1"/>
  <c r="D187" i="19"/>
  <c r="C190" i="19"/>
  <c r="C199" i="19" s="1"/>
  <c r="C189" i="19"/>
  <c r="C198" i="19" s="1"/>
  <c r="C188" i="19"/>
  <c r="C197" i="19" s="1"/>
  <c r="C187" i="19"/>
  <c r="C196" i="19" s="1"/>
  <c r="I195" i="19"/>
  <c r="H195" i="19"/>
  <c r="G195" i="19"/>
  <c r="F195" i="19"/>
  <c r="E195" i="19"/>
  <c r="D195" i="19"/>
  <c r="C195" i="19"/>
  <c r="K194" i="19"/>
  <c r="K193" i="19"/>
  <c r="K192" i="19"/>
  <c r="K191" i="19"/>
  <c r="I177" i="19"/>
  <c r="I186" i="19" s="1"/>
  <c r="H177" i="19"/>
  <c r="H186" i="19" s="1"/>
  <c r="G177" i="19"/>
  <c r="G186" i="19" s="1"/>
  <c r="F177" i="19"/>
  <c r="F186" i="19" s="1"/>
  <c r="E177" i="19"/>
  <c r="E186" i="19" s="1"/>
  <c r="D177" i="19"/>
  <c r="D186" i="19" s="1"/>
  <c r="I176" i="19"/>
  <c r="H176" i="19"/>
  <c r="H185" i="19" s="1"/>
  <c r="G176" i="19"/>
  <c r="G185" i="19" s="1"/>
  <c r="F176" i="19"/>
  <c r="E176" i="19"/>
  <c r="D176" i="19"/>
  <c r="I175" i="19"/>
  <c r="H175" i="19"/>
  <c r="H184" i="19" s="1"/>
  <c r="G175" i="19"/>
  <c r="G184" i="19" s="1"/>
  <c r="F175" i="19"/>
  <c r="E175" i="19"/>
  <c r="D175" i="19"/>
  <c r="I174" i="19"/>
  <c r="H174" i="19"/>
  <c r="H183" i="19" s="1"/>
  <c r="G174" i="19"/>
  <c r="G183" i="19" s="1"/>
  <c r="F174" i="19"/>
  <c r="E174" i="19"/>
  <c r="D174" i="19"/>
  <c r="C177" i="19"/>
  <c r="C186" i="19" s="1"/>
  <c r="C176" i="19"/>
  <c r="C175" i="19"/>
  <c r="C174" i="19"/>
  <c r="I182" i="19"/>
  <c r="H182" i="19"/>
  <c r="G182" i="19"/>
  <c r="F182" i="19"/>
  <c r="E182" i="19"/>
  <c r="D182" i="19"/>
  <c r="C182" i="19"/>
  <c r="K181" i="19"/>
  <c r="K180" i="19"/>
  <c r="K179" i="19"/>
  <c r="K178" i="19"/>
  <c r="I156" i="19"/>
  <c r="H156" i="19"/>
  <c r="G156" i="19"/>
  <c r="F156" i="19"/>
  <c r="E156" i="19"/>
  <c r="D156" i="19"/>
  <c r="C156" i="19"/>
  <c r="I143" i="19"/>
  <c r="H143" i="19"/>
  <c r="G143" i="19"/>
  <c r="F143" i="19"/>
  <c r="E143" i="19"/>
  <c r="D143" i="19"/>
  <c r="C143" i="19"/>
  <c r="C130" i="19"/>
  <c r="I130" i="19"/>
  <c r="H130" i="19"/>
  <c r="G130" i="19"/>
  <c r="F130" i="19"/>
  <c r="E130" i="19"/>
  <c r="D130" i="19"/>
  <c r="I117" i="19"/>
  <c r="H117" i="19"/>
  <c r="G117" i="19"/>
  <c r="F117" i="19"/>
  <c r="E117" i="19"/>
  <c r="D117" i="19"/>
  <c r="C117" i="19"/>
  <c r="C76" i="19"/>
  <c r="K36" i="19"/>
  <c r="P36" i="19" s="1"/>
  <c r="K32" i="19"/>
  <c r="P32" i="19" s="1"/>
  <c r="K35" i="19"/>
  <c r="P35" i="19" s="1"/>
  <c r="K34" i="19"/>
  <c r="P34" i="19" s="1"/>
  <c r="K33" i="19"/>
  <c r="P33" i="19" s="1"/>
  <c r="K31" i="19"/>
  <c r="P31" i="19" s="1"/>
  <c r="K30" i="19"/>
  <c r="P30" i="19" s="1"/>
  <c r="K29" i="19"/>
  <c r="P29" i="19" s="1"/>
  <c r="C479" i="19"/>
  <c r="G448" i="19" l="1"/>
  <c r="H448" i="19"/>
  <c r="I448" i="19"/>
  <c r="C301" i="19"/>
  <c r="G423" i="19"/>
  <c r="N77" i="19"/>
  <c r="M75" i="19"/>
  <c r="AK51" i="21" s="1"/>
  <c r="O77" i="19"/>
  <c r="M76" i="19"/>
  <c r="D321" i="19"/>
  <c r="F322" i="19"/>
  <c r="N75" i="19"/>
  <c r="O75" i="19"/>
  <c r="AQ50" i="21"/>
  <c r="AN50" i="21"/>
  <c r="AN72" i="21"/>
  <c r="AN64" i="21"/>
  <c r="AQ72" i="21"/>
  <c r="AQ64" i="21"/>
  <c r="AK72" i="21"/>
  <c r="AK64" i="21"/>
  <c r="H319" i="19"/>
  <c r="E320" i="19"/>
  <c r="G321" i="19"/>
  <c r="I322" i="19"/>
  <c r="C322" i="19"/>
  <c r="G319" i="19"/>
  <c r="I320" i="19"/>
  <c r="E322" i="19"/>
  <c r="D319" i="19"/>
  <c r="E319" i="19"/>
  <c r="F319" i="19"/>
  <c r="G320" i="19"/>
  <c r="H320" i="19"/>
  <c r="I321" i="19"/>
  <c r="D322" i="19"/>
  <c r="F320" i="19"/>
  <c r="I319" i="19"/>
  <c r="C321" i="19"/>
  <c r="D320" i="19"/>
  <c r="E321" i="19"/>
  <c r="F321" i="19"/>
  <c r="G322" i="19"/>
  <c r="H322" i="19"/>
  <c r="C320" i="19"/>
  <c r="H321" i="19"/>
  <c r="K254" i="19"/>
  <c r="E185" i="19"/>
  <c r="F185" i="19"/>
  <c r="D184" i="19"/>
  <c r="F183" i="19"/>
  <c r="F423" i="19" s="1"/>
  <c r="I184" i="19"/>
  <c r="D185" i="19"/>
  <c r="K190" i="19"/>
  <c r="K182" i="19"/>
  <c r="K177" i="19"/>
  <c r="K195" i="19"/>
  <c r="E184" i="19"/>
  <c r="K187" i="19"/>
  <c r="K188" i="19"/>
  <c r="K189" i="19"/>
  <c r="F197" i="19"/>
  <c r="K197" i="19" s="1"/>
  <c r="H198" i="19"/>
  <c r="K198" i="19" s="1"/>
  <c r="D196" i="19"/>
  <c r="K196" i="19" s="1"/>
  <c r="K199" i="19"/>
  <c r="I183" i="19"/>
  <c r="I423" i="19" s="1"/>
  <c r="E183" i="19"/>
  <c r="E423" i="19" s="1"/>
  <c r="F184" i="19"/>
  <c r="D183" i="19"/>
  <c r="I185" i="19"/>
  <c r="C185" i="19"/>
  <c r="K176" i="19"/>
  <c r="C183" i="19"/>
  <c r="K174" i="19"/>
  <c r="K186" i="19"/>
  <c r="F74" i="19"/>
  <c r="F299" i="19" s="1"/>
  <c r="H77" i="19"/>
  <c r="H302" i="19" s="1"/>
  <c r="H76" i="19"/>
  <c r="H301" i="19" s="1"/>
  <c r="K117" i="19"/>
  <c r="D77" i="19"/>
  <c r="D302" i="19" s="1"/>
  <c r="I74" i="19"/>
  <c r="I299" i="19" s="1"/>
  <c r="D76" i="19"/>
  <c r="D301" i="19" s="1"/>
  <c r="E77" i="19"/>
  <c r="E302" i="19" s="1"/>
  <c r="H74" i="19"/>
  <c r="H299" i="19" s="1"/>
  <c r="E76" i="19"/>
  <c r="E301" i="19" s="1"/>
  <c r="I77" i="19"/>
  <c r="I302" i="19" s="1"/>
  <c r="J77" i="19"/>
  <c r="J76" i="19"/>
  <c r="J74" i="19"/>
  <c r="C77" i="19"/>
  <c r="D74" i="19"/>
  <c r="D299" i="19" s="1"/>
  <c r="F77" i="19"/>
  <c r="F302" i="19" s="1"/>
  <c r="F76" i="19"/>
  <c r="F301" i="19" s="1"/>
  <c r="G76" i="19"/>
  <c r="G301" i="19" s="1"/>
  <c r="E74" i="19"/>
  <c r="E299" i="19" s="1"/>
  <c r="I76" i="19"/>
  <c r="I301" i="19" s="1"/>
  <c r="G74" i="19"/>
  <c r="G299" i="19" s="1"/>
  <c r="G77" i="19"/>
  <c r="G302" i="19" s="1"/>
  <c r="C6" i="19"/>
  <c r="M8" i="19" s="1"/>
  <c r="K339" i="19"/>
  <c r="I480" i="19"/>
  <c r="H480" i="19"/>
  <c r="G480" i="19"/>
  <c r="F480" i="19"/>
  <c r="E480" i="19"/>
  <c r="D480" i="19"/>
  <c r="C480" i="19"/>
  <c r="I475" i="19"/>
  <c r="H475" i="19"/>
  <c r="G475" i="19"/>
  <c r="F475" i="19"/>
  <c r="E475" i="19"/>
  <c r="D475" i="19"/>
  <c r="C475" i="19"/>
  <c r="I465" i="19"/>
  <c r="H465" i="19"/>
  <c r="G465" i="19"/>
  <c r="F465" i="19"/>
  <c r="E465" i="19"/>
  <c r="D465" i="19"/>
  <c r="C465" i="19"/>
  <c r="I470" i="19"/>
  <c r="H470" i="19"/>
  <c r="G470" i="19"/>
  <c r="F470" i="19"/>
  <c r="E470" i="19"/>
  <c r="D470" i="19"/>
  <c r="C470" i="19"/>
  <c r="C444" i="19"/>
  <c r="I473" i="19"/>
  <c r="I474" i="19" s="1"/>
  <c r="H473" i="19"/>
  <c r="H474" i="19" s="1"/>
  <c r="G473" i="19"/>
  <c r="G474" i="19" s="1"/>
  <c r="F473" i="19"/>
  <c r="F474" i="19" s="1"/>
  <c r="E473" i="19"/>
  <c r="E474" i="19" s="1"/>
  <c r="D473" i="19"/>
  <c r="D474" i="19" s="1"/>
  <c r="J363" i="19"/>
  <c r="J365" i="19" s="1"/>
  <c r="I363" i="19"/>
  <c r="I365" i="19" s="1"/>
  <c r="I479" i="19" s="1"/>
  <c r="H363" i="19"/>
  <c r="H365" i="19" s="1"/>
  <c r="H479" i="19" s="1"/>
  <c r="G363" i="19"/>
  <c r="G365" i="19" s="1"/>
  <c r="G479" i="19" s="1"/>
  <c r="F363" i="19"/>
  <c r="F365" i="19" s="1"/>
  <c r="F479" i="19" s="1"/>
  <c r="E363" i="19"/>
  <c r="E365" i="19" s="1"/>
  <c r="E479" i="19" s="1"/>
  <c r="D363" i="19"/>
  <c r="D365" i="19" s="1"/>
  <c r="D479" i="19" s="1"/>
  <c r="C365" i="19"/>
  <c r="K364" i="19"/>
  <c r="I340" i="19"/>
  <c r="H340" i="19"/>
  <c r="G340" i="19"/>
  <c r="F340" i="19"/>
  <c r="E340" i="19"/>
  <c r="D340" i="19"/>
  <c r="C340" i="19"/>
  <c r="K338" i="19"/>
  <c r="K89" i="19"/>
  <c r="P89" i="19" s="1"/>
  <c r="C473" i="19"/>
  <c r="C474" i="19" s="1"/>
  <c r="J359" i="19"/>
  <c r="J361" i="19" s="1"/>
  <c r="I359" i="19"/>
  <c r="I361" i="19" s="1"/>
  <c r="H359" i="19"/>
  <c r="H361" i="19" s="1"/>
  <c r="G359" i="19"/>
  <c r="G361" i="19" s="1"/>
  <c r="F359" i="19"/>
  <c r="F361" i="19" s="1"/>
  <c r="E359" i="19"/>
  <c r="E361" i="19" s="1"/>
  <c r="D359" i="19"/>
  <c r="D361" i="19" s="1"/>
  <c r="C359" i="19"/>
  <c r="C361" i="19" s="1"/>
  <c r="K360" i="19"/>
  <c r="K257" i="19"/>
  <c r="K245" i="19"/>
  <c r="I241" i="19"/>
  <c r="I250" i="19" s="1"/>
  <c r="H241" i="19"/>
  <c r="H250" i="19" s="1"/>
  <c r="G241" i="19"/>
  <c r="G250" i="19" s="1"/>
  <c r="F241" i="19"/>
  <c r="F250" i="19" s="1"/>
  <c r="E241" i="19"/>
  <c r="E250" i="19" s="1"/>
  <c r="D241" i="19"/>
  <c r="D250" i="19" s="1"/>
  <c r="C241" i="19"/>
  <c r="C250" i="19" s="1"/>
  <c r="K232" i="19"/>
  <c r="C151" i="19"/>
  <c r="C160" i="19" s="1"/>
  <c r="C228" i="19"/>
  <c r="C237" i="19" s="1"/>
  <c r="I228" i="19"/>
  <c r="I237" i="19" s="1"/>
  <c r="H228" i="19"/>
  <c r="H237" i="19" s="1"/>
  <c r="G228" i="19"/>
  <c r="G237" i="19" s="1"/>
  <c r="F228" i="19"/>
  <c r="F237" i="19" s="1"/>
  <c r="E228" i="19"/>
  <c r="E237" i="19" s="1"/>
  <c r="D228" i="19"/>
  <c r="D237" i="19" s="1"/>
  <c r="K219" i="19"/>
  <c r="I215" i="19"/>
  <c r="H215" i="19"/>
  <c r="G215" i="19"/>
  <c r="F215" i="19"/>
  <c r="E215" i="19"/>
  <c r="D215" i="19"/>
  <c r="C215" i="19"/>
  <c r="K155" i="19"/>
  <c r="I151" i="19"/>
  <c r="I160" i="19" s="1"/>
  <c r="H151" i="19"/>
  <c r="H160" i="19" s="1"/>
  <c r="G151" i="19"/>
  <c r="G160" i="19" s="1"/>
  <c r="F151" i="19"/>
  <c r="F160" i="19" s="1"/>
  <c r="E151" i="19"/>
  <c r="E160" i="19" s="1"/>
  <c r="D151" i="19"/>
  <c r="D160" i="19" s="1"/>
  <c r="K142" i="19"/>
  <c r="I138" i="19"/>
  <c r="I147" i="19" s="1"/>
  <c r="H138" i="19"/>
  <c r="H147" i="19" s="1"/>
  <c r="G138" i="19"/>
  <c r="G147" i="19" s="1"/>
  <c r="F138" i="19"/>
  <c r="F147" i="19" s="1"/>
  <c r="E138" i="19"/>
  <c r="E147" i="19" s="1"/>
  <c r="D138" i="19"/>
  <c r="D147" i="19" s="1"/>
  <c r="C138" i="19"/>
  <c r="K129" i="19"/>
  <c r="I125" i="19"/>
  <c r="I134" i="19" s="1"/>
  <c r="H125" i="19"/>
  <c r="H134" i="19" s="1"/>
  <c r="G125" i="19"/>
  <c r="G134" i="19" s="1"/>
  <c r="F125" i="19"/>
  <c r="F134" i="19" s="1"/>
  <c r="E125" i="19"/>
  <c r="E134" i="19" s="1"/>
  <c r="D125" i="19"/>
  <c r="D134" i="19" s="1"/>
  <c r="C125" i="19"/>
  <c r="K116" i="19"/>
  <c r="I112" i="19"/>
  <c r="H112" i="19"/>
  <c r="G112" i="19"/>
  <c r="F112" i="19"/>
  <c r="E112" i="19"/>
  <c r="D112" i="19"/>
  <c r="C112" i="19"/>
  <c r="K88" i="19"/>
  <c r="P88" i="19" s="1"/>
  <c r="K55" i="19"/>
  <c r="P55" i="19" s="1"/>
  <c r="K52" i="19"/>
  <c r="P52" i="19" s="1"/>
  <c r="K48" i="19"/>
  <c r="P48" i="19" s="1"/>
  <c r="K44" i="19"/>
  <c r="K24" i="19"/>
  <c r="P24" i="19" s="1"/>
  <c r="K20" i="19"/>
  <c r="P20" i="19" s="1"/>
  <c r="K16" i="19"/>
  <c r="P16" i="19" s="1"/>
  <c r="K12" i="19"/>
  <c r="D468" i="19"/>
  <c r="D469" i="19" s="1"/>
  <c r="E468" i="19"/>
  <c r="E469" i="19" s="1"/>
  <c r="F468" i="19"/>
  <c r="F469" i="19" s="1"/>
  <c r="G468" i="19"/>
  <c r="G469" i="19" s="1"/>
  <c r="H468" i="19"/>
  <c r="H469" i="19" s="1"/>
  <c r="I468" i="19"/>
  <c r="I469" i="19" s="1"/>
  <c r="C468" i="19"/>
  <c r="C469" i="19" s="1"/>
  <c r="D463" i="19"/>
  <c r="D464" i="19" s="1"/>
  <c r="E463" i="19"/>
  <c r="E464" i="19" s="1"/>
  <c r="F463" i="19"/>
  <c r="F464" i="19" s="1"/>
  <c r="G463" i="19"/>
  <c r="G464" i="19" s="1"/>
  <c r="H463" i="19"/>
  <c r="H464" i="19" s="1"/>
  <c r="I463" i="19"/>
  <c r="I464" i="19" s="1"/>
  <c r="C463" i="19"/>
  <c r="C464" i="19" s="1"/>
  <c r="K461" i="19"/>
  <c r="K356" i="19"/>
  <c r="D355" i="19"/>
  <c r="D357" i="19" s="1"/>
  <c r="E355" i="19"/>
  <c r="E357" i="19" s="1"/>
  <c r="F355" i="19"/>
  <c r="F357" i="19" s="1"/>
  <c r="G355" i="19"/>
  <c r="G357" i="19" s="1"/>
  <c r="H355" i="19"/>
  <c r="H357" i="19" s="1"/>
  <c r="I355" i="19"/>
  <c r="I357" i="19" s="1"/>
  <c r="J355" i="19"/>
  <c r="J357" i="19" s="1"/>
  <c r="C355" i="19"/>
  <c r="K352" i="19"/>
  <c r="D351" i="19"/>
  <c r="E351" i="19"/>
  <c r="E378" i="19" s="1"/>
  <c r="F351" i="19"/>
  <c r="G351" i="19"/>
  <c r="H351" i="19"/>
  <c r="I351" i="19"/>
  <c r="J351" i="19"/>
  <c r="C351" i="19"/>
  <c r="K350" i="19"/>
  <c r="K87" i="19"/>
  <c r="P87" i="19" s="1"/>
  <c r="K86" i="19"/>
  <c r="P86" i="19" s="1"/>
  <c r="K85" i="19"/>
  <c r="H378" i="19" l="1"/>
  <c r="C378" i="19"/>
  <c r="D378" i="19"/>
  <c r="J378" i="19"/>
  <c r="I378" i="19"/>
  <c r="G378" i="19"/>
  <c r="F306" i="19"/>
  <c r="F314" i="19" s="1"/>
  <c r="F378" i="19"/>
  <c r="C306" i="19"/>
  <c r="H306" i="19"/>
  <c r="H314" i="19" s="1"/>
  <c r="I306" i="19"/>
  <c r="I314" i="19" s="1"/>
  <c r="G306" i="19"/>
  <c r="G314" i="19" s="1"/>
  <c r="D306" i="19"/>
  <c r="D314" i="19" s="1"/>
  <c r="E306" i="19"/>
  <c r="E314" i="19" s="1"/>
  <c r="M79" i="19"/>
  <c r="AK17" i="21" s="1"/>
  <c r="E353" i="19"/>
  <c r="E380" i="19" s="1"/>
  <c r="I353" i="19"/>
  <c r="I380" i="19" s="1"/>
  <c r="G353" i="19"/>
  <c r="G380" i="19" s="1"/>
  <c r="D353" i="19"/>
  <c r="D380" i="19" s="1"/>
  <c r="I203" i="19"/>
  <c r="J353" i="19"/>
  <c r="J380" i="19" s="1"/>
  <c r="F353" i="19"/>
  <c r="F380" i="19" s="1"/>
  <c r="E224" i="19"/>
  <c r="F224" i="19"/>
  <c r="H224" i="19"/>
  <c r="I224" i="19"/>
  <c r="AQ51" i="21"/>
  <c r="D224" i="19"/>
  <c r="G224" i="19"/>
  <c r="C302" i="19"/>
  <c r="K302" i="19" s="1"/>
  <c r="K293" i="19"/>
  <c r="K292" i="19"/>
  <c r="K301" i="19"/>
  <c r="P44" i="19"/>
  <c r="F203" i="19"/>
  <c r="D203" i="19"/>
  <c r="G203" i="19"/>
  <c r="C203" i="19"/>
  <c r="C211" i="19" s="1"/>
  <c r="E203" i="19"/>
  <c r="H203" i="19"/>
  <c r="H211" i="19" s="1"/>
  <c r="AK50" i="21"/>
  <c r="N79" i="19"/>
  <c r="AN42" i="21" s="1"/>
  <c r="P12" i="19"/>
  <c r="P40" i="19" s="1"/>
  <c r="K40" i="19"/>
  <c r="V50" i="21"/>
  <c r="S50" i="21"/>
  <c r="AN51" i="21"/>
  <c r="O79" i="19"/>
  <c r="AQ17" i="21" s="1"/>
  <c r="AE50" i="21"/>
  <c r="Y72" i="21"/>
  <c r="Y64" i="21"/>
  <c r="AK42" i="21"/>
  <c r="P72" i="21"/>
  <c r="P64" i="21"/>
  <c r="V72" i="21"/>
  <c r="V64" i="21"/>
  <c r="AK76" i="21"/>
  <c r="AM76" i="21" s="1"/>
  <c r="AK73" i="21"/>
  <c r="AM73" i="21" s="1"/>
  <c r="AK75" i="21"/>
  <c r="AM75" i="21" s="1"/>
  <c r="AK74" i="21"/>
  <c r="AM74" i="21" s="1"/>
  <c r="AM72" i="21"/>
  <c r="AB72" i="21"/>
  <c r="AB64" i="21"/>
  <c r="AQ76" i="21"/>
  <c r="AS76" i="21" s="1"/>
  <c r="AQ73" i="21"/>
  <c r="AS73" i="21" s="1"/>
  <c r="AQ75" i="21"/>
  <c r="AS75" i="21" s="1"/>
  <c r="AQ74" i="21"/>
  <c r="AS74" i="21" s="1"/>
  <c r="AS72" i="21"/>
  <c r="AE72" i="21"/>
  <c r="AE64" i="21"/>
  <c r="AB50" i="21"/>
  <c r="AH50" i="21"/>
  <c r="S72" i="21"/>
  <c r="S64" i="21"/>
  <c r="Y50" i="21"/>
  <c r="AH72" i="21"/>
  <c r="AH64" i="21"/>
  <c r="AN76" i="21"/>
  <c r="AP76" i="21" s="1"/>
  <c r="AN75" i="21"/>
  <c r="AP75" i="21" s="1"/>
  <c r="AN73" i="21"/>
  <c r="AP73" i="21" s="1"/>
  <c r="AN74" i="21"/>
  <c r="AP74" i="21" s="1"/>
  <c r="AP72" i="21"/>
  <c r="M85" i="19"/>
  <c r="N8" i="19"/>
  <c r="D423" i="19"/>
  <c r="G329" i="19"/>
  <c r="H329" i="19"/>
  <c r="F329" i="19"/>
  <c r="E329" i="19"/>
  <c r="I329" i="19"/>
  <c r="D329" i="19"/>
  <c r="E121" i="19"/>
  <c r="F121" i="19"/>
  <c r="I121" i="19"/>
  <c r="H121" i="19"/>
  <c r="C121" i="19"/>
  <c r="G121" i="19"/>
  <c r="D121" i="19"/>
  <c r="K183" i="19"/>
  <c r="K185" i="19"/>
  <c r="C184" i="19"/>
  <c r="K184" i="19" s="1"/>
  <c r="K175" i="19"/>
  <c r="C353" i="19"/>
  <c r="K479" i="19"/>
  <c r="K478" i="19"/>
  <c r="K365" i="19"/>
  <c r="K363" i="19"/>
  <c r="K469" i="19"/>
  <c r="K464" i="19"/>
  <c r="K463" i="19"/>
  <c r="K468" i="19"/>
  <c r="K473" i="19"/>
  <c r="K474" i="19"/>
  <c r="K361" i="19"/>
  <c r="K359" i="19"/>
  <c r="K309" i="19"/>
  <c r="K262" i="19"/>
  <c r="K263" i="19"/>
  <c r="K250" i="19"/>
  <c r="K241" i="19"/>
  <c r="K237" i="19"/>
  <c r="K228" i="19"/>
  <c r="K215" i="19"/>
  <c r="C224" i="19"/>
  <c r="K160" i="19"/>
  <c r="K151" i="19"/>
  <c r="K125" i="19"/>
  <c r="K138" i="19"/>
  <c r="C147" i="19"/>
  <c r="C134" i="19"/>
  <c r="K134" i="19" s="1"/>
  <c r="K112" i="19"/>
  <c r="K379" i="19"/>
  <c r="K355" i="19"/>
  <c r="K351" i="19"/>
  <c r="C357" i="19"/>
  <c r="H353" i="19"/>
  <c r="H380" i="19" s="1"/>
  <c r="K94" i="19"/>
  <c r="P94" i="19" s="1"/>
  <c r="C380" i="19" l="1"/>
  <c r="M81" i="19"/>
  <c r="K224" i="19"/>
  <c r="N81" i="19"/>
  <c r="AN17" i="21"/>
  <c r="AN60" i="21" s="1"/>
  <c r="AQ42" i="21"/>
  <c r="O81" i="19"/>
  <c r="P76" i="21"/>
  <c r="P75" i="21"/>
  <c r="P73" i="21"/>
  <c r="P74" i="21"/>
  <c r="Q72" i="21"/>
  <c r="T72" i="21" s="1"/>
  <c r="W72" i="21" s="1"/>
  <c r="Z72" i="21" s="1"/>
  <c r="AC72" i="21" s="1"/>
  <c r="AF72" i="21" s="1"/>
  <c r="AI72" i="21" s="1"/>
  <c r="AL72" i="21" s="1"/>
  <c r="AO72" i="21" s="1"/>
  <c r="AR72" i="21" s="1"/>
  <c r="R72" i="21"/>
  <c r="AQ63" i="21"/>
  <c r="AQ60" i="21"/>
  <c r="AQ62" i="21"/>
  <c r="AQ59" i="21"/>
  <c r="AQ61" i="21"/>
  <c r="AB76" i="21"/>
  <c r="AD76" i="21" s="1"/>
  <c r="AB75" i="21"/>
  <c r="AD75" i="21" s="1"/>
  <c r="AB74" i="21"/>
  <c r="AD74" i="21" s="1"/>
  <c r="AB73" i="21"/>
  <c r="AD73" i="21" s="1"/>
  <c r="AD72" i="21"/>
  <c r="AK60" i="21"/>
  <c r="AK61" i="21"/>
  <c r="AK59" i="21"/>
  <c r="AK63" i="21"/>
  <c r="AK62" i="21"/>
  <c r="AE76" i="21"/>
  <c r="AG76" i="21" s="1"/>
  <c r="AE75" i="21"/>
  <c r="AG75" i="21" s="1"/>
  <c r="AE74" i="21"/>
  <c r="AG74" i="21" s="1"/>
  <c r="AE73" i="21"/>
  <c r="AG73" i="21" s="1"/>
  <c r="AG72" i="21"/>
  <c r="Y73" i="21"/>
  <c r="AA73" i="21" s="1"/>
  <c r="Y76" i="21"/>
  <c r="AA76" i="21" s="1"/>
  <c r="Y75" i="21"/>
  <c r="AA75" i="21" s="1"/>
  <c r="Y74" i="21"/>
  <c r="AA74" i="21" s="1"/>
  <c r="AA72" i="21"/>
  <c r="S76" i="21"/>
  <c r="U76" i="21" s="1"/>
  <c r="S73" i="21"/>
  <c r="U73" i="21" s="1"/>
  <c r="S75" i="21"/>
  <c r="U75" i="21" s="1"/>
  <c r="S74" i="21"/>
  <c r="U74" i="21" s="1"/>
  <c r="U72" i="21"/>
  <c r="AH76" i="21"/>
  <c r="AJ76" i="21" s="1"/>
  <c r="AH73" i="21"/>
  <c r="AJ73" i="21" s="1"/>
  <c r="AH75" i="21"/>
  <c r="AJ75" i="21" s="1"/>
  <c r="AH74" i="21"/>
  <c r="AJ74" i="21" s="1"/>
  <c r="AJ72" i="21"/>
  <c r="V76" i="21"/>
  <c r="X76" i="21" s="1"/>
  <c r="V73" i="21"/>
  <c r="X73" i="21" s="1"/>
  <c r="V75" i="21"/>
  <c r="X75" i="21" s="1"/>
  <c r="V74" i="21"/>
  <c r="X74" i="21" s="1"/>
  <c r="X72" i="21"/>
  <c r="O8" i="19"/>
  <c r="O85" i="19" s="1"/>
  <c r="N85" i="19"/>
  <c r="C423" i="19"/>
  <c r="D318" i="19"/>
  <c r="D326" i="19" s="1"/>
  <c r="F318" i="19"/>
  <c r="F326" i="19" s="1"/>
  <c r="G318" i="19"/>
  <c r="G326" i="19" s="1"/>
  <c r="I318" i="19"/>
  <c r="I326" i="19" s="1"/>
  <c r="C318" i="19"/>
  <c r="C326" i="19" s="1"/>
  <c r="E318" i="19"/>
  <c r="E326" i="19" s="1"/>
  <c r="H318" i="19"/>
  <c r="H326" i="19" s="1"/>
  <c r="K121" i="19"/>
  <c r="K357" i="19"/>
  <c r="G211" i="19"/>
  <c r="F211" i="19"/>
  <c r="E211" i="19"/>
  <c r="I211" i="19"/>
  <c r="D211" i="19"/>
  <c r="K306" i="19"/>
  <c r="K203" i="19"/>
  <c r="K378" i="19"/>
  <c r="K353" i="19"/>
  <c r="AN61" i="21" l="1"/>
  <c r="AN59" i="21"/>
  <c r="AN63" i="21"/>
  <c r="AN62" i="21"/>
  <c r="Q74" i="21"/>
  <c r="T74" i="21" s="1"/>
  <c r="W74" i="21" s="1"/>
  <c r="Z74" i="21" s="1"/>
  <c r="AC74" i="21" s="1"/>
  <c r="AF74" i="21" s="1"/>
  <c r="AI74" i="21" s="1"/>
  <c r="AL74" i="21" s="1"/>
  <c r="AO74" i="21" s="1"/>
  <c r="AR74" i="21" s="1"/>
  <c r="R74" i="21"/>
  <c r="Q73" i="21"/>
  <c r="T73" i="21" s="1"/>
  <c r="W73" i="21" s="1"/>
  <c r="Z73" i="21" s="1"/>
  <c r="AC73" i="21" s="1"/>
  <c r="AF73" i="21" s="1"/>
  <c r="AI73" i="21" s="1"/>
  <c r="AL73" i="21" s="1"/>
  <c r="AO73" i="21" s="1"/>
  <c r="AR73" i="21" s="1"/>
  <c r="R73" i="21"/>
  <c r="Q75" i="21"/>
  <c r="T75" i="21" s="1"/>
  <c r="W75" i="21" s="1"/>
  <c r="Z75" i="21" s="1"/>
  <c r="AC75" i="21" s="1"/>
  <c r="AF75" i="21" s="1"/>
  <c r="AI75" i="21" s="1"/>
  <c r="AL75" i="21" s="1"/>
  <c r="AO75" i="21" s="1"/>
  <c r="AR75" i="21" s="1"/>
  <c r="R75" i="21"/>
  <c r="Q76" i="21"/>
  <c r="T76" i="21" s="1"/>
  <c r="W76" i="21" s="1"/>
  <c r="Z76" i="21" s="1"/>
  <c r="AC76" i="21" s="1"/>
  <c r="AF76" i="21" s="1"/>
  <c r="AI76" i="21" s="1"/>
  <c r="AL76" i="21" s="1"/>
  <c r="AO76" i="21" s="1"/>
  <c r="AR76" i="21" s="1"/>
  <c r="R76" i="21"/>
  <c r="K326" i="19"/>
  <c r="K211" i="19"/>
  <c r="K380" i="19"/>
  <c r="C314" i="19"/>
  <c r="K258" i="19"/>
  <c r="K244" i="19"/>
  <c r="I240" i="19"/>
  <c r="I249" i="19" s="1"/>
  <c r="H240" i="19"/>
  <c r="H249" i="19" s="1"/>
  <c r="G240" i="19"/>
  <c r="G249" i="19" s="1"/>
  <c r="F240" i="19"/>
  <c r="F249" i="19" s="1"/>
  <c r="E240" i="19"/>
  <c r="E249" i="19" s="1"/>
  <c r="D240" i="19"/>
  <c r="D249" i="19" s="1"/>
  <c r="C240" i="19"/>
  <c r="C249" i="19" s="1"/>
  <c r="K231" i="19"/>
  <c r="I227" i="19"/>
  <c r="I236" i="19" s="1"/>
  <c r="H227" i="19"/>
  <c r="H236" i="19" s="1"/>
  <c r="G227" i="19"/>
  <c r="G236" i="19" s="1"/>
  <c r="F227" i="19"/>
  <c r="F236" i="19" s="1"/>
  <c r="E227" i="19"/>
  <c r="E236" i="19" s="1"/>
  <c r="D227" i="19"/>
  <c r="D236" i="19" s="1"/>
  <c r="C227" i="19"/>
  <c r="C236" i="19" s="1"/>
  <c r="K218" i="19"/>
  <c r="I214" i="19"/>
  <c r="H214" i="19"/>
  <c r="H305" i="19" s="1"/>
  <c r="G214" i="19"/>
  <c r="G305" i="19" s="1"/>
  <c r="F214" i="19"/>
  <c r="E214" i="19"/>
  <c r="E305" i="19" s="1"/>
  <c r="D214" i="19"/>
  <c r="D305" i="19" s="1"/>
  <c r="C214" i="19"/>
  <c r="C305" i="19" s="1"/>
  <c r="K156" i="19"/>
  <c r="K154" i="19"/>
  <c r="I150" i="19"/>
  <c r="I159" i="19" s="1"/>
  <c r="H150" i="19"/>
  <c r="H159" i="19" s="1"/>
  <c r="G150" i="19"/>
  <c r="G159" i="19" s="1"/>
  <c r="F150" i="19"/>
  <c r="F159" i="19" s="1"/>
  <c r="E150" i="19"/>
  <c r="E159" i="19" s="1"/>
  <c r="D150" i="19"/>
  <c r="D159" i="19" s="1"/>
  <c r="C150" i="19"/>
  <c r="C159" i="19" s="1"/>
  <c r="K141" i="19"/>
  <c r="I137" i="19"/>
  <c r="I146" i="19" s="1"/>
  <c r="H137" i="19"/>
  <c r="H146" i="19" s="1"/>
  <c r="G137" i="19"/>
  <c r="G146" i="19" s="1"/>
  <c r="F137" i="19"/>
  <c r="F146" i="19" s="1"/>
  <c r="E137" i="19"/>
  <c r="E146" i="19" s="1"/>
  <c r="D137" i="19"/>
  <c r="D146" i="19" s="1"/>
  <c r="C137" i="19"/>
  <c r="K128" i="19"/>
  <c r="I124" i="19"/>
  <c r="I133" i="19" s="1"/>
  <c r="H124" i="19"/>
  <c r="H133" i="19" s="1"/>
  <c r="G124" i="19"/>
  <c r="G133" i="19" s="1"/>
  <c r="F124" i="19"/>
  <c r="F133" i="19" s="1"/>
  <c r="E124" i="19"/>
  <c r="E133" i="19" s="1"/>
  <c r="D124" i="19"/>
  <c r="D133" i="19" s="1"/>
  <c r="C124" i="19"/>
  <c r="K115" i="19"/>
  <c r="I111" i="19"/>
  <c r="H111" i="19"/>
  <c r="G111" i="19"/>
  <c r="F111" i="19"/>
  <c r="E111" i="19"/>
  <c r="D111" i="19"/>
  <c r="I110" i="19"/>
  <c r="H110" i="19"/>
  <c r="G110" i="19"/>
  <c r="F110" i="19"/>
  <c r="E110" i="19"/>
  <c r="D110" i="19"/>
  <c r="I109" i="19"/>
  <c r="H109" i="19"/>
  <c r="G109" i="19"/>
  <c r="F109" i="19"/>
  <c r="E109" i="19"/>
  <c r="D109" i="19"/>
  <c r="C111" i="19"/>
  <c r="K56" i="19"/>
  <c r="K72" i="19" s="1"/>
  <c r="K51" i="19"/>
  <c r="P51" i="19" s="1"/>
  <c r="K47" i="19"/>
  <c r="P47" i="19" s="1"/>
  <c r="K43" i="19"/>
  <c r="K23" i="19"/>
  <c r="P23" i="19" s="1"/>
  <c r="K19" i="19"/>
  <c r="P19" i="19" s="1"/>
  <c r="K15" i="19"/>
  <c r="P15" i="19" s="1"/>
  <c r="I347" i="19"/>
  <c r="H347" i="19"/>
  <c r="G347" i="19"/>
  <c r="F347" i="19"/>
  <c r="E347" i="19"/>
  <c r="D347" i="19"/>
  <c r="C347" i="19"/>
  <c r="F305" i="19" l="1"/>
  <c r="F313" i="19" s="1"/>
  <c r="I305" i="19"/>
  <c r="K71" i="19"/>
  <c r="C313" i="19"/>
  <c r="D223" i="19"/>
  <c r="D313" i="19"/>
  <c r="E223" i="19"/>
  <c r="E313" i="19"/>
  <c r="F223" i="19"/>
  <c r="I223" i="19"/>
  <c r="I313" i="19"/>
  <c r="G223" i="19"/>
  <c r="G313" i="19"/>
  <c r="H223" i="19"/>
  <c r="H313" i="19"/>
  <c r="P43" i="19"/>
  <c r="P71" i="19" s="1"/>
  <c r="I202" i="19"/>
  <c r="E202" i="19"/>
  <c r="F202" i="19"/>
  <c r="F210" i="19" s="1"/>
  <c r="D202" i="19"/>
  <c r="G202" i="19"/>
  <c r="H202" i="19"/>
  <c r="C202" i="19"/>
  <c r="P56" i="19"/>
  <c r="P72" i="19" s="1"/>
  <c r="I120" i="19"/>
  <c r="E120" i="19"/>
  <c r="H120" i="19"/>
  <c r="F120" i="19"/>
  <c r="D120" i="19"/>
  <c r="C120" i="19"/>
  <c r="G120" i="19"/>
  <c r="K310" i="19"/>
  <c r="K253" i="19"/>
  <c r="K249" i="19"/>
  <c r="K240" i="19"/>
  <c r="K236" i="19"/>
  <c r="K227" i="19"/>
  <c r="K214" i="19"/>
  <c r="C223" i="19"/>
  <c r="K206" i="19"/>
  <c r="K159" i="19"/>
  <c r="K150" i="19"/>
  <c r="K137" i="19"/>
  <c r="C146" i="19"/>
  <c r="K124" i="19"/>
  <c r="C133" i="19"/>
  <c r="K133" i="19" s="1"/>
  <c r="K111" i="19"/>
  <c r="K340" i="19"/>
  <c r="I428" i="19"/>
  <c r="H428" i="19"/>
  <c r="G428" i="19"/>
  <c r="F428" i="19"/>
  <c r="E428" i="19"/>
  <c r="D428" i="19"/>
  <c r="C428" i="19"/>
  <c r="C317" i="19" l="1"/>
  <c r="C325" i="19" s="1"/>
  <c r="C210" i="19"/>
  <c r="K223" i="19"/>
  <c r="F317" i="19"/>
  <c r="F325" i="19" s="1"/>
  <c r="K77" i="19"/>
  <c r="P77" i="19" s="1"/>
  <c r="G317" i="19"/>
  <c r="G325" i="19" s="1"/>
  <c r="H317" i="19"/>
  <c r="H325" i="19" s="1"/>
  <c r="E317" i="19"/>
  <c r="E325" i="19" s="1"/>
  <c r="D317" i="19"/>
  <c r="D325" i="19" s="1"/>
  <c r="I317" i="19"/>
  <c r="I325" i="19" s="1"/>
  <c r="K120" i="19"/>
  <c r="K322" i="19"/>
  <c r="D210" i="19"/>
  <c r="G210" i="19"/>
  <c r="E210" i="19"/>
  <c r="I210" i="19"/>
  <c r="H210" i="19"/>
  <c r="K314" i="19"/>
  <c r="K305" i="19"/>
  <c r="K202" i="19"/>
  <c r="K256" i="19"/>
  <c r="K243" i="19"/>
  <c r="I239" i="19"/>
  <c r="I248" i="19" s="1"/>
  <c r="H239" i="19"/>
  <c r="H248" i="19" s="1"/>
  <c r="G239" i="19"/>
  <c r="G248" i="19" s="1"/>
  <c r="F239" i="19"/>
  <c r="F248" i="19" s="1"/>
  <c r="E239" i="19"/>
  <c r="E248" i="19" s="1"/>
  <c r="D239" i="19"/>
  <c r="D248" i="19" s="1"/>
  <c r="C239" i="19"/>
  <c r="K230" i="19"/>
  <c r="I226" i="19"/>
  <c r="I235" i="19" s="1"/>
  <c r="H226" i="19"/>
  <c r="H235" i="19" s="1"/>
  <c r="G226" i="19"/>
  <c r="G235" i="19" s="1"/>
  <c r="F226" i="19"/>
  <c r="F235" i="19" s="1"/>
  <c r="E226" i="19"/>
  <c r="E235" i="19" s="1"/>
  <c r="D226" i="19"/>
  <c r="D235" i="19" s="1"/>
  <c r="C226" i="19"/>
  <c r="C235" i="19" s="1"/>
  <c r="K217" i="19"/>
  <c r="I213" i="19"/>
  <c r="H213" i="19"/>
  <c r="G213" i="19"/>
  <c r="G304" i="19" s="1"/>
  <c r="F213" i="19"/>
  <c r="F304" i="19" s="1"/>
  <c r="E213" i="19"/>
  <c r="D213" i="19"/>
  <c r="C213" i="19"/>
  <c r="C304" i="19" s="1"/>
  <c r="K153" i="19"/>
  <c r="I149" i="19"/>
  <c r="I158" i="19" s="1"/>
  <c r="H149" i="19"/>
  <c r="H158" i="19" s="1"/>
  <c r="G149" i="19"/>
  <c r="G158" i="19" s="1"/>
  <c r="F149" i="19"/>
  <c r="F158" i="19" s="1"/>
  <c r="E149" i="19"/>
  <c r="E158" i="19" s="1"/>
  <c r="D149" i="19"/>
  <c r="D158" i="19" s="1"/>
  <c r="C149" i="19"/>
  <c r="C158" i="19" s="1"/>
  <c r="K140" i="19"/>
  <c r="I136" i="19"/>
  <c r="I145" i="19" s="1"/>
  <c r="H136" i="19"/>
  <c r="H145" i="19" s="1"/>
  <c r="G136" i="19"/>
  <c r="G145" i="19" s="1"/>
  <c r="F136" i="19"/>
  <c r="F145" i="19" s="1"/>
  <c r="E136" i="19"/>
  <c r="E145" i="19" s="1"/>
  <c r="D136" i="19"/>
  <c r="D145" i="19" s="1"/>
  <c r="C136" i="19"/>
  <c r="C145" i="19" s="1"/>
  <c r="K127" i="19"/>
  <c r="I123" i="19"/>
  <c r="H123" i="19"/>
  <c r="G123" i="19"/>
  <c r="F123" i="19"/>
  <c r="E123" i="19"/>
  <c r="D123" i="19"/>
  <c r="C123" i="19"/>
  <c r="I119" i="19"/>
  <c r="H119" i="19"/>
  <c r="G119" i="19"/>
  <c r="D119" i="19"/>
  <c r="C110" i="19"/>
  <c r="K114" i="19"/>
  <c r="K41" i="19"/>
  <c r="K42" i="19"/>
  <c r="K54" i="19"/>
  <c r="P54" i="19" s="1"/>
  <c r="K50" i="19"/>
  <c r="P50" i="19" s="1"/>
  <c r="K46" i="19"/>
  <c r="P46" i="19" s="1"/>
  <c r="K22" i="19"/>
  <c r="P22" i="19" s="1"/>
  <c r="K18" i="19"/>
  <c r="P18" i="19" s="1"/>
  <c r="K14" i="19"/>
  <c r="P14" i="19" s="1"/>
  <c r="K10" i="19"/>
  <c r="H304" i="19" l="1"/>
  <c r="H312" i="19" s="1"/>
  <c r="I304" i="19"/>
  <c r="E304" i="19"/>
  <c r="E312" i="19" s="1"/>
  <c r="D304" i="19"/>
  <c r="D312" i="19" s="1"/>
  <c r="H201" i="19"/>
  <c r="K70" i="19"/>
  <c r="I222" i="19"/>
  <c r="I312" i="19"/>
  <c r="I201" i="19"/>
  <c r="C312" i="19"/>
  <c r="D222" i="19"/>
  <c r="E222" i="19"/>
  <c r="F222" i="19"/>
  <c r="F312" i="19"/>
  <c r="G222" i="19"/>
  <c r="G312" i="19"/>
  <c r="H222" i="19"/>
  <c r="P42" i="19"/>
  <c r="P70" i="19" s="1"/>
  <c r="P41" i="19"/>
  <c r="D201" i="19"/>
  <c r="D209" i="19" s="1"/>
  <c r="F201" i="19"/>
  <c r="E201" i="19"/>
  <c r="E209" i="19" s="1"/>
  <c r="G201" i="19"/>
  <c r="C201" i="19"/>
  <c r="C209" i="19" s="1"/>
  <c r="P10" i="19"/>
  <c r="P38" i="19" s="1"/>
  <c r="K38" i="19"/>
  <c r="C222" i="19"/>
  <c r="D132" i="19"/>
  <c r="E132" i="19"/>
  <c r="F132" i="19"/>
  <c r="H132" i="19"/>
  <c r="G132" i="19"/>
  <c r="C119" i="19"/>
  <c r="I132" i="19"/>
  <c r="K210" i="19"/>
  <c r="K318" i="19"/>
  <c r="K308" i="19"/>
  <c r="K235" i="19"/>
  <c r="I75" i="19"/>
  <c r="I300" i="19" s="1"/>
  <c r="K239" i="19"/>
  <c r="C248" i="19"/>
  <c r="K248" i="19" s="1"/>
  <c r="J75" i="19"/>
  <c r="J79" i="19" s="1"/>
  <c r="J81" i="19" s="1"/>
  <c r="K226" i="19"/>
  <c r="K123" i="19"/>
  <c r="D75" i="19"/>
  <c r="D300" i="19" s="1"/>
  <c r="C75" i="19"/>
  <c r="E119" i="19"/>
  <c r="K205" i="19"/>
  <c r="K213" i="19"/>
  <c r="E75" i="19"/>
  <c r="E300" i="19" s="1"/>
  <c r="H75" i="19"/>
  <c r="H300" i="19" s="1"/>
  <c r="G75" i="19"/>
  <c r="G300" i="19" s="1"/>
  <c r="F75" i="19"/>
  <c r="F300" i="19" s="1"/>
  <c r="K252" i="19"/>
  <c r="F119" i="19"/>
  <c r="C132" i="19"/>
  <c r="K136" i="19"/>
  <c r="K149" i="19"/>
  <c r="K158" i="19"/>
  <c r="K145" i="19"/>
  <c r="K147" i="19" s="1"/>
  <c r="K222" i="19" l="1"/>
  <c r="P51" i="21"/>
  <c r="Q51" i="21" s="1"/>
  <c r="R51" i="21" s="1"/>
  <c r="D79" i="19"/>
  <c r="D274" i="19" s="1"/>
  <c r="S51" i="21"/>
  <c r="E79" i="19"/>
  <c r="E274" i="19" s="1"/>
  <c r="V51" i="21"/>
  <c r="I79" i="19"/>
  <c r="I274" i="19" s="1"/>
  <c r="AH51" i="21"/>
  <c r="C316" i="19"/>
  <c r="C324" i="19" s="1"/>
  <c r="F79" i="19"/>
  <c r="F274" i="19" s="1"/>
  <c r="Y51" i="21"/>
  <c r="G79" i="19"/>
  <c r="G274" i="19" s="1"/>
  <c r="AB51" i="21"/>
  <c r="H79" i="19"/>
  <c r="H274" i="19" s="1"/>
  <c r="AE51" i="21"/>
  <c r="D316" i="19"/>
  <c r="D324" i="19" s="1"/>
  <c r="G209" i="19"/>
  <c r="G316" i="19"/>
  <c r="G324" i="19" s="1"/>
  <c r="E316" i="19"/>
  <c r="E324" i="19" s="1"/>
  <c r="F209" i="19"/>
  <c r="F316" i="19"/>
  <c r="F324" i="19" s="1"/>
  <c r="H209" i="19"/>
  <c r="H316" i="19"/>
  <c r="H324" i="19" s="1"/>
  <c r="I209" i="19"/>
  <c r="I316" i="19"/>
  <c r="I324" i="19" s="1"/>
  <c r="K132" i="19"/>
  <c r="K304" i="19"/>
  <c r="K119" i="19"/>
  <c r="K261" i="19"/>
  <c r="K75" i="19"/>
  <c r="P75" i="19" s="1"/>
  <c r="K201" i="19"/>
  <c r="K320" i="19"/>
  <c r="T51" i="21" l="1"/>
  <c r="U51" i="21" s="1"/>
  <c r="K300" i="19"/>
  <c r="K291" i="19"/>
  <c r="I81" i="19"/>
  <c r="I276" i="19" s="1"/>
  <c r="AH42" i="21"/>
  <c r="AH17" i="21"/>
  <c r="H81" i="19"/>
  <c r="H276" i="19" s="1"/>
  <c r="AE42" i="21"/>
  <c r="AE17" i="21"/>
  <c r="F81" i="19"/>
  <c r="F276" i="19" s="1"/>
  <c r="Y42" i="21"/>
  <c r="Y17" i="21"/>
  <c r="E81" i="19"/>
  <c r="E276" i="19" s="1"/>
  <c r="V42" i="21"/>
  <c r="V17" i="21"/>
  <c r="G81" i="19"/>
  <c r="G276" i="19" s="1"/>
  <c r="AB42" i="21"/>
  <c r="AB17" i="21"/>
  <c r="D81" i="19"/>
  <c r="D276" i="19" s="1"/>
  <c r="S42" i="21"/>
  <c r="S17" i="21"/>
  <c r="K209" i="19"/>
  <c r="K312" i="19"/>
  <c r="K316" i="19"/>
  <c r="K334" i="19"/>
  <c r="W51" i="21" l="1"/>
  <c r="X51" i="21" s="1"/>
  <c r="V59" i="21"/>
  <c r="V61" i="21"/>
  <c r="V60" i="21"/>
  <c r="V63" i="21"/>
  <c r="V62" i="21"/>
  <c r="S61" i="21"/>
  <c r="S63" i="21"/>
  <c r="S60" i="21"/>
  <c r="S62" i="21"/>
  <c r="S59" i="21"/>
  <c r="Y61" i="21"/>
  <c r="Y60" i="21"/>
  <c r="Y63" i="21"/>
  <c r="Y62" i="21"/>
  <c r="Y59" i="21"/>
  <c r="AH59" i="21"/>
  <c r="AH62" i="21"/>
  <c r="AH63" i="21"/>
  <c r="AH60" i="21"/>
  <c r="AH61" i="21"/>
  <c r="AE63" i="21"/>
  <c r="AE59" i="21"/>
  <c r="AE62" i="21"/>
  <c r="AE61" i="21"/>
  <c r="AE60" i="21"/>
  <c r="AB62" i="21"/>
  <c r="AB59" i="21"/>
  <c r="AB63" i="21"/>
  <c r="AB61" i="21"/>
  <c r="AB60" i="21"/>
  <c r="K324" i="19"/>
  <c r="K346" i="19"/>
  <c r="K345" i="19"/>
  <c r="C398" i="19"/>
  <c r="C393" i="19"/>
  <c r="K337" i="19"/>
  <c r="Z51" i="21" l="1"/>
  <c r="AA51" i="21" s="1"/>
  <c r="K347" i="19"/>
  <c r="C394" i="19"/>
  <c r="D394" i="19"/>
  <c r="G394" i="19"/>
  <c r="H394" i="19"/>
  <c r="E394" i="19"/>
  <c r="F394" i="19"/>
  <c r="I394" i="19"/>
  <c r="C399" i="19"/>
  <c r="D399" i="19"/>
  <c r="F399" i="19"/>
  <c r="G399" i="19"/>
  <c r="H399" i="19"/>
  <c r="I399" i="19"/>
  <c r="E399" i="19"/>
  <c r="AC51" i="21" l="1"/>
  <c r="AD51" i="21" s="1"/>
  <c r="I148" i="19"/>
  <c r="I157" i="19" s="1"/>
  <c r="H148" i="19"/>
  <c r="H157" i="19" s="1"/>
  <c r="G148" i="19"/>
  <c r="G157" i="19" s="1"/>
  <c r="F148" i="19"/>
  <c r="F157" i="19" s="1"/>
  <c r="E148" i="19"/>
  <c r="E157" i="19" s="1"/>
  <c r="D148" i="19"/>
  <c r="D157" i="19" s="1"/>
  <c r="C148" i="19"/>
  <c r="C157" i="19" s="1"/>
  <c r="K21" i="19"/>
  <c r="P21" i="19" s="1"/>
  <c r="AF51" i="21" l="1"/>
  <c r="AI51" i="21" s="1"/>
  <c r="D418" i="19"/>
  <c r="D413" i="19"/>
  <c r="H418" i="19"/>
  <c r="H413" i="19"/>
  <c r="E418" i="19"/>
  <c r="E413" i="19"/>
  <c r="G418" i="19"/>
  <c r="G413" i="19"/>
  <c r="I418" i="19"/>
  <c r="I413" i="19"/>
  <c r="F418" i="19"/>
  <c r="F413" i="19"/>
  <c r="C418" i="19"/>
  <c r="C413" i="19"/>
  <c r="K321" i="19"/>
  <c r="K157" i="19"/>
  <c r="AG51" i="21" l="1"/>
  <c r="AJ51" i="21"/>
  <c r="AL51" i="21"/>
  <c r="D238" i="19"/>
  <c r="D247" i="19" s="1"/>
  <c r="E238" i="19"/>
  <c r="E247" i="19" s="1"/>
  <c r="F238" i="19"/>
  <c r="F247" i="19" s="1"/>
  <c r="G238" i="19"/>
  <c r="G247" i="19" s="1"/>
  <c r="H238" i="19"/>
  <c r="H247" i="19" s="1"/>
  <c r="I238" i="19"/>
  <c r="I247" i="19" s="1"/>
  <c r="D225" i="19"/>
  <c r="D234" i="19" s="1"/>
  <c r="E225" i="19"/>
  <c r="E234" i="19" s="1"/>
  <c r="F225" i="19"/>
  <c r="F234" i="19" s="1"/>
  <c r="G225" i="19"/>
  <c r="G234" i="19" s="1"/>
  <c r="H225" i="19"/>
  <c r="H234" i="19" s="1"/>
  <c r="I225" i="19"/>
  <c r="I234" i="19" s="1"/>
  <c r="D212" i="19"/>
  <c r="E212" i="19"/>
  <c r="F212" i="19"/>
  <c r="G212" i="19"/>
  <c r="H212" i="19"/>
  <c r="I212" i="19"/>
  <c r="D135" i="19"/>
  <c r="D144" i="19" s="1"/>
  <c r="E135" i="19"/>
  <c r="E144" i="19" s="1"/>
  <c r="F135" i="19"/>
  <c r="F144" i="19" s="1"/>
  <c r="G135" i="19"/>
  <c r="G144" i="19" s="1"/>
  <c r="H135" i="19"/>
  <c r="H144" i="19" s="1"/>
  <c r="I135" i="19"/>
  <c r="I144" i="19" s="1"/>
  <c r="C74" i="19"/>
  <c r="C79" i="19" s="1"/>
  <c r="K49" i="19"/>
  <c r="P49" i="19" s="1"/>
  <c r="K11" i="19"/>
  <c r="D333" i="19"/>
  <c r="D336" i="19" s="1"/>
  <c r="E333" i="19"/>
  <c r="E336" i="19" s="1"/>
  <c r="I333" i="19"/>
  <c r="I336" i="19" s="1"/>
  <c r="H333" i="19"/>
  <c r="H336" i="19" s="1"/>
  <c r="G333" i="19"/>
  <c r="G336" i="19" s="1"/>
  <c r="F333" i="19"/>
  <c r="F336" i="19" s="1"/>
  <c r="D303" i="19" l="1"/>
  <c r="D311" i="19" s="1"/>
  <c r="I303" i="19"/>
  <c r="I311" i="19" s="1"/>
  <c r="H303" i="19"/>
  <c r="G303" i="19"/>
  <c r="G311" i="19" s="1"/>
  <c r="F303" i="19"/>
  <c r="F311" i="19" s="1"/>
  <c r="E303" i="19"/>
  <c r="E311" i="19" s="1"/>
  <c r="K265" i="19"/>
  <c r="C274" i="19"/>
  <c r="K274" i="19" s="1"/>
  <c r="E221" i="19"/>
  <c r="D221" i="19"/>
  <c r="I221" i="19"/>
  <c r="H221" i="19"/>
  <c r="H311" i="19"/>
  <c r="G221" i="19"/>
  <c r="F221" i="19"/>
  <c r="K290" i="19"/>
  <c r="K299" i="19"/>
  <c r="P11" i="19"/>
  <c r="P39" i="19" s="1"/>
  <c r="K39" i="19"/>
  <c r="P50" i="21"/>
  <c r="Q50" i="21" s="1"/>
  <c r="AO51" i="21"/>
  <c r="AM51" i="21"/>
  <c r="C319" i="19"/>
  <c r="C329" i="19" s="1"/>
  <c r="C336" i="19" s="1"/>
  <c r="K336" i="19" s="1"/>
  <c r="K307" i="19"/>
  <c r="K333" i="19"/>
  <c r="D444" i="19"/>
  <c r="E444" i="19"/>
  <c r="H444" i="19"/>
  <c r="I444" i="19"/>
  <c r="I439" i="19"/>
  <c r="D439" i="19"/>
  <c r="E439" i="19"/>
  <c r="G439" i="19"/>
  <c r="H439" i="19"/>
  <c r="D434" i="19"/>
  <c r="E434" i="19"/>
  <c r="F434" i="19"/>
  <c r="G434" i="19"/>
  <c r="I434" i="19"/>
  <c r="C434" i="19"/>
  <c r="D429" i="19"/>
  <c r="E429" i="19"/>
  <c r="F429" i="19"/>
  <c r="G429" i="19"/>
  <c r="H429" i="19"/>
  <c r="I429" i="19"/>
  <c r="C429" i="19"/>
  <c r="I409" i="19"/>
  <c r="E409" i="19"/>
  <c r="D409" i="19"/>
  <c r="C409" i="19"/>
  <c r="K152" i="19"/>
  <c r="K76" i="19" l="1"/>
  <c r="P76" i="19" s="1"/>
  <c r="AR51" i="21"/>
  <c r="AS51" i="21" s="1"/>
  <c r="AP51" i="21"/>
  <c r="T50" i="21"/>
  <c r="R50" i="21"/>
  <c r="C81" i="19"/>
  <c r="P42" i="21"/>
  <c r="Q42" i="21" s="1"/>
  <c r="P17" i="21"/>
  <c r="H341" i="19"/>
  <c r="H342" i="19" s="1"/>
  <c r="D341" i="19"/>
  <c r="D342" i="19" s="1"/>
  <c r="K313" i="19"/>
  <c r="I344" i="19"/>
  <c r="I348" i="19" s="1"/>
  <c r="G341" i="19"/>
  <c r="G342" i="19" s="1"/>
  <c r="K319" i="19"/>
  <c r="C438" i="19"/>
  <c r="D408" i="19"/>
  <c r="G438" i="19"/>
  <c r="G443" i="19"/>
  <c r="F443" i="19"/>
  <c r="C443" i="19"/>
  <c r="I443" i="19"/>
  <c r="H443" i="19"/>
  <c r="D443" i="19"/>
  <c r="C433" i="19"/>
  <c r="E443" i="19"/>
  <c r="G444" i="19"/>
  <c r="F444" i="19"/>
  <c r="E408" i="19"/>
  <c r="I438" i="19"/>
  <c r="D438" i="19"/>
  <c r="H433" i="19"/>
  <c r="F438" i="19"/>
  <c r="F439" i="19"/>
  <c r="H438" i="19"/>
  <c r="E438" i="19"/>
  <c r="C439" i="19"/>
  <c r="H434" i="19"/>
  <c r="I433" i="19"/>
  <c r="E433" i="19"/>
  <c r="D433" i="19"/>
  <c r="G433" i="19"/>
  <c r="F433" i="19"/>
  <c r="I408" i="19"/>
  <c r="C408" i="19"/>
  <c r="H408" i="19"/>
  <c r="G408" i="19"/>
  <c r="F408" i="19"/>
  <c r="F409" i="19"/>
  <c r="G409" i="19"/>
  <c r="H409" i="19"/>
  <c r="K259" i="19"/>
  <c r="K220" i="19"/>
  <c r="K233" i="19"/>
  <c r="K246" i="19"/>
  <c r="K148" i="19"/>
  <c r="C276" i="19" l="1"/>
  <c r="K276" i="19" s="1"/>
  <c r="K267" i="19"/>
  <c r="T42" i="21"/>
  <c r="R42" i="21"/>
  <c r="W50" i="21"/>
  <c r="U50" i="21"/>
  <c r="P63" i="21"/>
  <c r="Q63" i="21" s="1"/>
  <c r="P61" i="21"/>
  <c r="Q61" i="21" s="1"/>
  <c r="P62" i="21"/>
  <c r="Q62" i="21" s="1"/>
  <c r="P60" i="21"/>
  <c r="Q60" i="21" s="1"/>
  <c r="P59" i="21"/>
  <c r="Q59" i="21" s="1"/>
  <c r="Q17" i="21"/>
  <c r="C344" i="19"/>
  <c r="C348" i="19" s="1"/>
  <c r="C341" i="19"/>
  <c r="C342" i="19" s="1"/>
  <c r="F341" i="19"/>
  <c r="F342" i="19" s="1"/>
  <c r="K325" i="19"/>
  <c r="K317" i="19"/>
  <c r="I341" i="19"/>
  <c r="I342" i="19" s="1"/>
  <c r="G344" i="19"/>
  <c r="G348" i="19" s="1"/>
  <c r="D344" i="19"/>
  <c r="D348" i="19" s="1"/>
  <c r="E341" i="19"/>
  <c r="E342" i="19" s="1"/>
  <c r="F344" i="19"/>
  <c r="F348" i="19" s="1"/>
  <c r="H344" i="19"/>
  <c r="H348" i="19" s="1"/>
  <c r="E344" i="19"/>
  <c r="E348" i="19" s="1"/>
  <c r="K329" i="19"/>
  <c r="K255" i="19"/>
  <c r="K242" i="19"/>
  <c r="K229" i="19"/>
  <c r="K216" i="19"/>
  <c r="K139" i="19"/>
  <c r="K113" i="19"/>
  <c r="K126" i="19"/>
  <c r="D403" i="19"/>
  <c r="E403" i="19"/>
  <c r="F403" i="19"/>
  <c r="G403" i="19"/>
  <c r="H403" i="19"/>
  <c r="I403" i="19"/>
  <c r="D398" i="19"/>
  <c r="E398" i="19"/>
  <c r="F398" i="19"/>
  <c r="G398" i="19"/>
  <c r="H398" i="19"/>
  <c r="I398" i="19"/>
  <c r="T62" i="21" l="1"/>
  <c r="R62" i="21"/>
  <c r="T61" i="21"/>
  <c r="R61" i="21"/>
  <c r="R63" i="21"/>
  <c r="T63" i="21"/>
  <c r="T60" i="21"/>
  <c r="R60" i="21"/>
  <c r="R17" i="21"/>
  <c r="T17" i="21"/>
  <c r="Z50" i="21"/>
  <c r="X50" i="21"/>
  <c r="R59" i="21"/>
  <c r="T59" i="21"/>
  <c r="U42" i="21"/>
  <c r="W42" i="21"/>
  <c r="K341" i="19"/>
  <c r="K344" i="19"/>
  <c r="K348" i="19" s="1"/>
  <c r="K143" i="19"/>
  <c r="D387" i="19"/>
  <c r="D106" i="19"/>
  <c r="AA50" i="21" l="1"/>
  <c r="AC50" i="21"/>
  <c r="W61" i="21"/>
  <c r="U61" i="21"/>
  <c r="U63" i="21"/>
  <c r="W63" i="21"/>
  <c r="Z42" i="21"/>
  <c r="X42" i="21"/>
  <c r="W60" i="21"/>
  <c r="U60" i="21"/>
  <c r="U59" i="21"/>
  <c r="W59" i="21"/>
  <c r="U17" i="21"/>
  <c r="W17" i="21"/>
  <c r="U62" i="21"/>
  <c r="W62" i="21"/>
  <c r="I404" i="19"/>
  <c r="H404" i="19"/>
  <c r="G404" i="19"/>
  <c r="F404" i="19"/>
  <c r="E404" i="19"/>
  <c r="D404" i="19"/>
  <c r="C404" i="19"/>
  <c r="C251" i="19"/>
  <c r="C238" i="19"/>
  <c r="C247" i="19" s="1"/>
  <c r="K247" i="19" s="1"/>
  <c r="C225" i="19"/>
  <c r="C234" i="19" s="1"/>
  <c r="K234" i="19" s="1"/>
  <c r="C212" i="19"/>
  <c r="C135" i="19"/>
  <c r="C144" i="19" s="1"/>
  <c r="K144" i="19" s="1"/>
  <c r="K146" i="19" s="1"/>
  <c r="K130" i="19"/>
  <c r="I122" i="19"/>
  <c r="I200" i="19" s="1"/>
  <c r="H122" i="19"/>
  <c r="H200" i="19" s="1"/>
  <c r="G122" i="19"/>
  <c r="G200" i="19" s="1"/>
  <c r="G208" i="19" s="1"/>
  <c r="F122" i="19"/>
  <c r="F200" i="19" s="1"/>
  <c r="E122" i="19"/>
  <c r="E200" i="19" s="1"/>
  <c r="D122" i="19"/>
  <c r="D200" i="19" s="1"/>
  <c r="D208" i="19" s="1"/>
  <c r="C122" i="19"/>
  <c r="C109" i="19"/>
  <c r="K53" i="19"/>
  <c r="P53" i="19" s="1"/>
  <c r="K45" i="19"/>
  <c r="K17" i="19"/>
  <c r="P17" i="19" s="1"/>
  <c r="K13" i="19"/>
  <c r="P13" i="19" s="1"/>
  <c r="K9" i="19"/>
  <c r="C8" i="19"/>
  <c r="C461" i="19" s="1"/>
  <c r="E6" i="19"/>
  <c r="C303" i="19" l="1"/>
  <c r="C311" i="19" s="1"/>
  <c r="K69" i="19"/>
  <c r="P45" i="19"/>
  <c r="P69" i="19" s="1"/>
  <c r="C200" i="19"/>
  <c r="C208" i="19" s="1"/>
  <c r="P9" i="19"/>
  <c r="P37" i="19" s="1"/>
  <c r="K37" i="19"/>
  <c r="X62" i="21"/>
  <c r="Z62" i="21"/>
  <c r="AA42" i="21"/>
  <c r="AC42" i="21"/>
  <c r="Z63" i="21"/>
  <c r="X63" i="21"/>
  <c r="Z17" i="21"/>
  <c r="X17" i="21"/>
  <c r="X59" i="21"/>
  <c r="Z59" i="21"/>
  <c r="X61" i="21"/>
  <c r="Z61" i="21"/>
  <c r="AD50" i="21"/>
  <c r="AF50" i="21"/>
  <c r="X60" i="21"/>
  <c r="Z60" i="21"/>
  <c r="C221" i="19"/>
  <c r="K221" i="19" s="1"/>
  <c r="C260" i="19"/>
  <c r="D131" i="19"/>
  <c r="D315" i="19"/>
  <c r="I131" i="19"/>
  <c r="E131" i="19"/>
  <c r="E315" i="19"/>
  <c r="F131" i="19"/>
  <c r="H131" i="19"/>
  <c r="H315" i="19"/>
  <c r="G131" i="19"/>
  <c r="C118" i="19"/>
  <c r="C85" i="19"/>
  <c r="C350" i="19"/>
  <c r="C131" i="19"/>
  <c r="K122" i="19"/>
  <c r="I118" i="19"/>
  <c r="I393" i="19" s="1"/>
  <c r="H118" i="19"/>
  <c r="D118" i="19"/>
  <c r="F118" i="19"/>
  <c r="E118" i="19"/>
  <c r="E393" i="19" s="1"/>
  <c r="G118" i="19"/>
  <c r="K251" i="19"/>
  <c r="K109" i="19"/>
  <c r="K238" i="19"/>
  <c r="K225" i="19"/>
  <c r="K212" i="19"/>
  <c r="K135" i="19"/>
  <c r="C106" i="19"/>
  <c r="C387" i="19"/>
  <c r="D8" i="19"/>
  <c r="D461" i="19" s="1"/>
  <c r="C389" i="19"/>
  <c r="C108" i="19"/>
  <c r="E387" i="19"/>
  <c r="E106" i="19"/>
  <c r="C403" i="19"/>
  <c r="K260" i="19" l="1"/>
  <c r="C315" i="19"/>
  <c r="AC60" i="21"/>
  <c r="AA60" i="21"/>
  <c r="AG50" i="21"/>
  <c r="AI50" i="21"/>
  <c r="AC63" i="21"/>
  <c r="AA63" i="21"/>
  <c r="AA17" i="21"/>
  <c r="AC17" i="21"/>
  <c r="AA61" i="21"/>
  <c r="AC61" i="21"/>
  <c r="AF42" i="21"/>
  <c r="AD42" i="21"/>
  <c r="AC59" i="21"/>
  <c r="AA59" i="21"/>
  <c r="AC62" i="21"/>
  <c r="AA62" i="21"/>
  <c r="D328" i="19"/>
  <c r="D323" i="19"/>
  <c r="E328" i="19"/>
  <c r="E323" i="19"/>
  <c r="H328" i="19"/>
  <c r="H335" i="19" s="1"/>
  <c r="H323" i="19"/>
  <c r="I315" i="19"/>
  <c r="F315" i="19"/>
  <c r="G315" i="19"/>
  <c r="K74" i="19"/>
  <c r="K131" i="19"/>
  <c r="D85" i="19"/>
  <c r="D350" i="19"/>
  <c r="K311" i="19"/>
  <c r="E208" i="19"/>
  <c r="H208" i="19"/>
  <c r="I208" i="19"/>
  <c r="F208" i="19"/>
  <c r="H393" i="19"/>
  <c r="G393" i="19"/>
  <c r="F393" i="19"/>
  <c r="K118" i="19"/>
  <c r="D393" i="19"/>
  <c r="K200" i="19"/>
  <c r="E8" i="19"/>
  <c r="E461" i="19" s="1"/>
  <c r="D389" i="19"/>
  <c r="D108" i="19"/>
  <c r="K303" i="19"/>
  <c r="AF17" i="21" l="1"/>
  <c r="AD17" i="21"/>
  <c r="AD59" i="21"/>
  <c r="AF59" i="21"/>
  <c r="AD63" i="21"/>
  <c r="AF63" i="21"/>
  <c r="AD62" i="21"/>
  <c r="AF62" i="21"/>
  <c r="AL50" i="21"/>
  <c r="AJ50" i="21"/>
  <c r="E330" i="19"/>
  <c r="E335" i="19"/>
  <c r="AI42" i="21"/>
  <c r="AG42" i="21"/>
  <c r="AF61" i="21"/>
  <c r="AD61" i="21"/>
  <c r="K79" i="19"/>
  <c r="P74" i="19"/>
  <c r="D330" i="19"/>
  <c r="D335" i="19"/>
  <c r="AF60" i="21"/>
  <c r="AD60" i="21"/>
  <c r="F328" i="19"/>
  <c r="F323" i="19"/>
  <c r="H330" i="19"/>
  <c r="I328" i="19"/>
  <c r="I323" i="19"/>
  <c r="C328" i="19"/>
  <c r="C335" i="19" s="1"/>
  <c r="G328" i="19"/>
  <c r="G323" i="19"/>
  <c r="E85" i="19"/>
  <c r="E350" i="19"/>
  <c r="C323" i="19"/>
  <c r="K208" i="19"/>
  <c r="K204" i="19"/>
  <c r="E108" i="19"/>
  <c r="E389" i="19"/>
  <c r="F8" i="19"/>
  <c r="F461" i="19" s="1"/>
  <c r="K315" i="19"/>
  <c r="AG61" i="21" l="1"/>
  <c r="AI61" i="21"/>
  <c r="AI63" i="21"/>
  <c r="AG63" i="21"/>
  <c r="G330" i="19"/>
  <c r="G335" i="19"/>
  <c r="AI60" i="21"/>
  <c r="AG60" i="21"/>
  <c r="AJ42" i="21"/>
  <c r="AL42" i="21"/>
  <c r="AI62" i="21"/>
  <c r="AG62" i="21"/>
  <c r="F330" i="19"/>
  <c r="F335" i="19"/>
  <c r="AG59" i="21"/>
  <c r="AI59" i="21"/>
  <c r="I330" i="19"/>
  <c r="I335" i="19"/>
  <c r="K81" i="19"/>
  <c r="P79" i="19"/>
  <c r="P81" i="19" s="1"/>
  <c r="AO50" i="21"/>
  <c r="AM50" i="21"/>
  <c r="AG17" i="21"/>
  <c r="AI17" i="21"/>
  <c r="F85" i="19"/>
  <c r="F350" i="19"/>
  <c r="C330" i="19"/>
  <c r="K328" i="19"/>
  <c r="K342" i="19"/>
  <c r="K343" i="19" s="1"/>
  <c r="K323" i="19"/>
  <c r="G8" i="19"/>
  <c r="G461" i="19" s="1"/>
  <c r="F389" i="19"/>
  <c r="F108" i="19"/>
  <c r="K335" i="19" l="1"/>
  <c r="AR50" i="21"/>
  <c r="AS50" i="21" s="1"/>
  <c r="AP50" i="21"/>
  <c r="AJ60" i="21"/>
  <c r="AL60" i="21"/>
  <c r="AL62" i="21"/>
  <c r="AJ62" i="21"/>
  <c r="AL63" i="21"/>
  <c r="AJ63" i="21"/>
  <c r="AM42" i="21"/>
  <c r="AO42" i="21"/>
  <c r="AL61" i="21"/>
  <c r="AJ61" i="21"/>
  <c r="AL17" i="21"/>
  <c r="AJ17" i="21"/>
  <c r="AL59" i="21"/>
  <c r="AJ59" i="21"/>
  <c r="G85" i="19"/>
  <c r="G350" i="19"/>
  <c r="K330" i="19"/>
  <c r="H8" i="19"/>
  <c r="H461" i="19" s="1"/>
  <c r="G389" i="19"/>
  <c r="G108" i="19"/>
  <c r="AO63" i="21" l="1"/>
  <c r="AM63" i="21"/>
  <c r="AM17" i="21"/>
  <c r="AO17" i="21"/>
  <c r="AM62" i="21"/>
  <c r="AO62" i="21"/>
  <c r="AO59" i="21"/>
  <c r="AM59" i="21"/>
  <c r="AM60" i="21"/>
  <c r="AO60" i="21"/>
  <c r="AO61" i="21"/>
  <c r="AM61" i="21"/>
  <c r="AP42" i="21"/>
  <c r="AR42" i="21"/>
  <c r="AS42" i="21" s="1"/>
  <c r="H85" i="19"/>
  <c r="H350" i="19"/>
  <c r="I8" i="19"/>
  <c r="I461" i="19" s="1"/>
  <c r="H389" i="19"/>
  <c r="H108" i="19"/>
  <c r="AR59" i="21" l="1"/>
  <c r="AS59" i="21" s="1"/>
  <c r="AP59" i="21"/>
  <c r="AR17" i="21"/>
  <c r="AS17" i="21" s="1"/>
  <c r="AP17" i="21"/>
  <c r="AR62" i="21"/>
  <c r="AS62" i="21" s="1"/>
  <c r="AP62" i="21"/>
  <c r="AP61" i="21"/>
  <c r="AR61" i="21"/>
  <c r="AS61" i="21" s="1"/>
  <c r="AR60" i="21"/>
  <c r="AS60" i="21" s="1"/>
  <c r="AP60" i="21"/>
  <c r="AP63" i="21"/>
  <c r="AR63" i="21"/>
  <c r="AS63" i="21" s="1"/>
  <c r="I85" i="19"/>
  <c r="I350" i="19"/>
  <c r="J8" i="19"/>
  <c r="J461" i="19" s="1"/>
  <c r="I389" i="19"/>
  <c r="I108" i="19"/>
  <c r="J85" i="19" l="1"/>
  <c r="J350" i="19"/>
  <c r="J389" i="19"/>
  <c r="J10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Andrès</author>
  </authors>
  <commentList>
    <comment ref="A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Andrès:</t>
        </r>
        <r>
          <rPr>
            <sz val="9"/>
            <color indexed="81"/>
            <rFont val="Tahoma"/>
            <family val="2"/>
          </rPr>
          <t xml:space="preserve">
1 bobina = 11,3kg</t>
        </r>
      </text>
    </comment>
    <comment ref="A3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Andrès:</t>
        </r>
        <r>
          <rPr>
            <sz val="9"/>
            <color indexed="81"/>
            <rFont val="Tahoma"/>
            <family val="2"/>
          </rPr>
          <t xml:space="preserve">
1 bobina= 8,9kg</t>
        </r>
      </text>
    </comment>
  </commentList>
</comments>
</file>

<file path=xl/sharedStrings.xml><?xml version="1.0" encoding="utf-8"?>
<sst xmlns="http://schemas.openxmlformats.org/spreadsheetml/2006/main" count="847" uniqueCount="476">
  <si>
    <t>Tabacalera Espert SA</t>
  </si>
  <si>
    <t>T Semanal</t>
  </si>
  <si>
    <t>Gran Total</t>
  </si>
  <si>
    <t>Documento: 43</t>
  </si>
  <si>
    <t>Realizado:</t>
  </si>
  <si>
    <t>Autorizado:</t>
  </si>
  <si>
    <t>Seguimiento Plan de Produccion (en cajas)</t>
  </si>
  <si>
    <t>Documento 7</t>
  </si>
  <si>
    <t>VE/SP</t>
  </si>
  <si>
    <t>Mel Red Venta Real</t>
  </si>
  <si>
    <t>Mel Red Stock dias</t>
  </si>
  <si>
    <t>Mel Mint Venta</t>
  </si>
  <si>
    <t>Mel Mint Stock dias</t>
  </si>
  <si>
    <t>Documento 4</t>
  </si>
  <si>
    <t>HASTA</t>
  </si>
  <si>
    <t>DESDE</t>
  </si>
  <si>
    <t>Plan de Produccion</t>
  </si>
  <si>
    <t xml:space="preserve">Versión: </t>
  </si>
  <si>
    <t>Semana</t>
  </si>
  <si>
    <t>AA</t>
  </si>
  <si>
    <t>FT</t>
  </si>
  <si>
    <t>Seguimiento de Stock (en cajas / días)</t>
  </si>
  <si>
    <t>Melbourne Mint Real Total</t>
  </si>
  <si>
    <t>Milenio Red Real Total</t>
  </si>
  <si>
    <t>Milenio Gold Real Total</t>
  </si>
  <si>
    <t>Milenio Mint Real Total</t>
  </si>
  <si>
    <t>Milenio Click Real Total</t>
  </si>
  <si>
    <t xml:space="preserve">Bateas en carro inicio </t>
  </si>
  <si>
    <t>Bateas en carro final</t>
  </si>
  <si>
    <t>Melbourne Red Total Real</t>
  </si>
  <si>
    <t>Gran total Plan</t>
  </si>
  <si>
    <t>Gran total Real</t>
  </si>
  <si>
    <t>Gran total diferencia</t>
  </si>
  <si>
    <t>Mill Venta</t>
  </si>
  <si>
    <t>Mill Stock dias</t>
  </si>
  <si>
    <t>Milenio Red Venta</t>
  </si>
  <si>
    <t>Milenio Red Stock dias</t>
  </si>
  <si>
    <t>Milenio Gold Venta</t>
  </si>
  <si>
    <t>Milenio Gold Stock dias</t>
  </si>
  <si>
    <t>Milenio Mint Venta</t>
  </si>
  <si>
    <t>Milenio Mint Stock dias</t>
  </si>
  <si>
    <t>Milenio Click Prod</t>
  </si>
  <si>
    <t>Milenio Click Venta</t>
  </si>
  <si>
    <t>Milenio Click Stock dias</t>
  </si>
  <si>
    <t>Consumo teórico de varillas</t>
  </si>
  <si>
    <t>Consumo real de cajas filtros Espert</t>
  </si>
  <si>
    <t>Consumo real de cajas filtros Py</t>
  </si>
  <si>
    <t>Consumo real de varillas total</t>
  </si>
  <si>
    <t>Diferencia (Ref:4%)</t>
  </si>
  <si>
    <t>Melbourne Gold  Real Total</t>
  </si>
  <si>
    <t>Mel Gold Venta</t>
  </si>
  <si>
    <t>Mel Gold Stock dias</t>
  </si>
  <si>
    <t>Mill Real Total</t>
  </si>
  <si>
    <t xml:space="preserve">Mel Red Prod </t>
  </si>
  <si>
    <t xml:space="preserve">Mel Gold Stock </t>
  </si>
  <si>
    <t xml:space="preserve">Mel Gold Prod </t>
  </si>
  <si>
    <t xml:space="preserve">Mel Mint Stock </t>
  </si>
  <si>
    <t xml:space="preserve">Mel Mint Prod </t>
  </si>
  <si>
    <t xml:space="preserve">Mill Stock </t>
  </si>
  <si>
    <t xml:space="preserve">Mill Prod </t>
  </si>
  <si>
    <t xml:space="preserve">Milenio Red Stock </t>
  </si>
  <si>
    <t xml:space="preserve">Milenio Red Prod </t>
  </si>
  <si>
    <t xml:space="preserve">Milenio Gold Stock </t>
  </si>
  <si>
    <t xml:space="preserve">Milenio Gold Prod </t>
  </si>
  <si>
    <t xml:space="preserve">Milenio Mint Stock </t>
  </si>
  <si>
    <t xml:space="preserve">Milenio Mint Prod </t>
  </si>
  <si>
    <t xml:space="preserve">Milenio Click Stock </t>
  </si>
  <si>
    <t>Consumo planificado tabaco (Kg)</t>
  </si>
  <si>
    <t>Consumo teórico tabaco (Kg)</t>
  </si>
  <si>
    <t>Consumo real tabaco (Kg)</t>
  </si>
  <si>
    <t>Diferencia (kg)</t>
  </si>
  <si>
    <t>Diferencia(%)</t>
  </si>
  <si>
    <t>Consumo prog. Tabaco (Kg)</t>
  </si>
  <si>
    <t>Consumo cajas tabaco Brasil (Flama)</t>
  </si>
  <si>
    <t>Rendimiento Tabaco (%)</t>
  </si>
  <si>
    <t>Consumo cajas  tabaco TABES</t>
  </si>
  <si>
    <t>Filtro Light 410</t>
  </si>
  <si>
    <t>Total Filtros</t>
  </si>
  <si>
    <t>Filtro Light 410 Plan</t>
  </si>
  <si>
    <t>Filtro Light 410 Real</t>
  </si>
  <si>
    <t>Diferencia Filtro Light 410</t>
  </si>
  <si>
    <t>FILTROS (Cajas)</t>
  </si>
  <si>
    <t>Filtro Light 410 Stock</t>
  </si>
  <si>
    <t>Filtro Light 410 Prod</t>
  </si>
  <si>
    <t>Filtro Light 410 Consumo</t>
  </si>
  <si>
    <t>Filtro Light 410 Stock días</t>
  </si>
  <si>
    <t>Total Filtros Plan</t>
  </si>
  <si>
    <t>Total Filtros Real</t>
  </si>
  <si>
    <t>Total Filtros Diferencia</t>
  </si>
  <si>
    <t>Filtro Click 360</t>
  </si>
  <si>
    <t>Rendimiento Filtros (%)</t>
  </si>
  <si>
    <t>Consumo cajas tabaco Brasil (Flama 3)</t>
  </si>
  <si>
    <t>Filtro Click 360 Plan</t>
  </si>
  <si>
    <t>Filtro Cick 360 Stock</t>
  </si>
  <si>
    <t>Filtro Cick 360 Prod</t>
  </si>
  <si>
    <t>Filtro Cick 360 Consumo</t>
  </si>
  <si>
    <t>Filtro Cick 360 Stock días</t>
  </si>
  <si>
    <t>Stock seguridad</t>
  </si>
  <si>
    <t>Uso día est.</t>
  </si>
  <si>
    <t>UE/SP</t>
  </si>
  <si>
    <t>Uso / día est.</t>
  </si>
  <si>
    <t>Venta/día</t>
  </si>
  <si>
    <t>Rendimiento esperado (%)</t>
  </si>
  <si>
    <t>Filtro Full 330 Plan</t>
  </si>
  <si>
    <t>Filtro Full 330 Real</t>
  </si>
  <si>
    <t>Diferencia Filtro Full 330</t>
  </si>
  <si>
    <t>Filtro Full 330 Stock</t>
  </si>
  <si>
    <t>Filtro Full 330 Prod</t>
  </si>
  <si>
    <t>Filtro Full 330 Consumo</t>
  </si>
  <si>
    <t>Filtro Full 330 Stock días</t>
  </si>
  <si>
    <t>Filtro Click 360 Real</t>
  </si>
  <si>
    <t>Diferencia Filtro 360 Click</t>
  </si>
  <si>
    <t>Filtro Full 330</t>
  </si>
  <si>
    <t>Filtro Menta 330</t>
  </si>
  <si>
    <t>Filtro Menta 330 Plan</t>
  </si>
  <si>
    <t>Filtro Menta 330 Real</t>
  </si>
  <si>
    <t>Diferencia Filtro 330 Menta</t>
  </si>
  <si>
    <t>Filtro Menta 330 Stock</t>
  </si>
  <si>
    <t>Filtro Menta 330 Prod</t>
  </si>
  <si>
    <t>Filtro Menta 330 Consumo</t>
  </si>
  <si>
    <t>Filtro Menta 330 Stock días</t>
  </si>
  <si>
    <t>Melbourne Red (TABES FLAMA 6.5)</t>
  </si>
  <si>
    <t>Melbourne Red (TABES FLAMA 6.5 AAE)</t>
  </si>
  <si>
    <t>Melbourne Gold (TABES FLAMA 6.5)</t>
  </si>
  <si>
    <t>Melbourne Gold (TABES FLAMA 6.5 AAE)</t>
  </si>
  <si>
    <t>Melbourne Mint (TABES FLAMA 6.5)</t>
  </si>
  <si>
    <t>Melbourne Mint (TABES FLAMA 6.5 AAE)</t>
  </si>
  <si>
    <t>Mill (TABES FLAMA 6.5)</t>
  </si>
  <si>
    <t>Mill (TABES FLAMA 6.5 AAE)</t>
  </si>
  <si>
    <t>Bold Full (TABES FLAMA 6.5)</t>
  </si>
  <si>
    <t>Bold Full (TABES FLAMA 6.5 AAE)</t>
  </si>
  <si>
    <t>Bold Mint (TABES FLAMA 6.5)</t>
  </si>
  <si>
    <t>Bold Mint (TABES FLAMA 6.5 AAE)</t>
  </si>
  <si>
    <t>Sub total Ks (TABES FLAMA 6.5)</t>
  </si>
  <si>
    <t>Sub total Ks (TABES FLAMA 6.5 AAE)</t>
  </si>
  <si>
    <t>Milenio Red (TABES FLAMA 6.5)</t>
  </si>
  <si>
    <t>Milenio Red (TABES FLAMA 6.5 AAE)</t>
  </si>
  <si>
    <t>Milenio Gold (TABES FLAMA 6.5)</t>
  </si>
  <si>
    <t>Milenio Gold (TABES FLAMA 6.5 AAE)</t>
  </si>
  <si>
    <t>Milenio Mint (TABES FLAMA 6.5)</t>
  </si>
  <si>
    <t>Milenio Mint (TABES FLAMA 6.5 AAE)</t>
  </si>
  <si>
    <t>Milenio Click (TABES FLAMA 6.5)</t>
  </si>
  <si>
    <t>Milenio Click (TABES FLAMA 6.5 AAE)</t>
  </si>
  <si>
    <t>Sub total Box (TABES FLAMA 6.5)</t>
  </si>
  <si>
    <t>Sub total Box (TABES FLAMA 6.5 AAE)</t>
  </si>
  <si>
    <t>Total (TABES FLAMA 6.5)</t>
  </si>
  <si>
    <t>Total (TABES FLAMA 6.5 AAE)</t>
  </si>
  <si>
    <t>Melbourne Red TABES FLAMA 6.5 Plan</t>
  </si>
  <si>
    <t>Melbourne Red TABES FLAMA 6.5 AAE Plan</t>
  </si>
  <si>
    <t>Melbourne Red TABES FLAMA 6.5 Real</t>
  </si>
  <si>
    <t>Melbourne Red TABES FLAMA 6.5 AAE Real</t>
  </si>
  <si>
    <t>Diferencia TABES FLAMA 6.5</t>
  </si>
  <si>
    <t>Diferencia TABES FLAMA 6.5 AAE</t>
  </si>
  <si>
    <t>Melbourne Gold TABES FLAMA 6.5 Plan</t>
  </si>
  <si>
    <t>Melbourne Gold TABES FLAMA 6.5 AAE Plan</t>
  </si>
  <si>
    <t>Melbourne Gold TABES FLAMA 6.5 Real</t>
  </si>
  <si>
    <t>Melbourne Gold TABES FLAMA 6.5 AAE Real</t>
  </si>
  <si>
    <t>Melbourne Mint TABES FLAMA 6.5 Plan</t>
  </si>
  <si>
    <t>Melbourne Mint TABES FLAMA 6.5 AAE Plan</t>
  </si>
  <si>
    <t>Melbourne Mint TABES FLAMA 6.5 Real</t>
  </si>
  <si>
    <t>Melbourne Mint TABES FLAMA 6.5 AAE Real</t>
  </si>
  <si>
    <t>Mill TABES FLAMA 6.5 Plan</t>
  </si>
  <si>
    <t>Mill TABES FLAMA 6.5 AAE Plan</t>
  </si>
  <si>
    <t>Mill TABES FLAMA 6.5 Real</t>
  </si>
  <si>
    <t>Mill TABES FLAMA 6.5 AAE Real</t>
  </si>
  <si>
    <t>Bold full TABES FLAMA 6.5 Plan</t>
  </si>
  <si>
    <t>Bold full TABES FLAMA 6.5 AAE Plan</t>
  </si>
  <si>
    <t>Bold full TABES FLAMA 6.5 Real</t>
  </si>
  <si>
    <t>Bold full TABES FLAMA 6.5 AAE Real</t>
  </si>
  <si>
    <t>Bold full Real Total</t>
  </si>
  <si>
    <t>Bold mint TABES FLAMA 6.5 Plan</t>
  </si>
  <si>
    <t>Bold mint TABES FLAMA 6.5 AAE Plan</t>
  </si>
  <si>
    <t>Bold mint TABES FLAMA 6.5 Real</t>
  </si>
  <si>
    <t>Bold mint TABES FLAMA 6.5 AAE Real</t>
  </si>
  <si>
    <t>Bold mint Real Total</t>
  </si>
  <si>
    <t>Sub total Ks TABES FLAMA 6.5 Plan</t>
  </si>
  <si>
    <t>Sub total Ks TABES FLAMA 6.5 AAE Plan</t>
  </si>
  <si>
    <t>Sub total Ks TABES FLAMA 6.5 Real</t>
  </si>
  <si>
    <t>Sub total Ks TABES FLAMA 6.5 AAE Real</t>
  </si>
  <si>
    <t>Diferencia Ks TABES FLAMA 6.5</t>
  </si>
  <si>
    <t>Diferencia KS TABES FLAMA 6.5 AAE</t>
  </si>
  <si>
    <t>Milenio Red TABES FLAMA 6.5 Plan</t>
  </si>
  <si>
    <t>Milenio Red TABES FLAMA 6.5 AAE Plan</t>
  </si>
  <si>
    <t>Milenio Red TABES FLAMA 6.5 Real</t>
  </si>
  <si>
    <t xml:space="preserve">Milenio Red TABES FLAMA 6.5 AAE Real </t>
  </si>
  <si>
    <t>Milenio Gold TABES FLAMA 6.5 Plan</t>
  </si>
  <si>
    <t>Milenio Gold TABES FLAMA 6.5 AAE Plan</t>
  </si>
  <si>
    <t>Milenio Gold TABES FLAMA 6.5 Real</t>
  </si>
  <si>
    <t>Milenio Gold TABES FLAMA 6.5 AAE Real</t>
  </si>
  <si>
    <t>Milenio Mint TABES FLAMA 6.5 Plan</t>
  </si>
  <si>
    <t>Milenio Mint TABES FLAMA 6.5 AAE Plan</t>
  </si>
  <si>
    <t>Milenio Mint TABES FLAMA 6.5 Real</t>
  </si>
  <si>
    <t>Milenio Mint TABES FLAMA 6.5 AAE Real</t>
  </si>
  <si>
    <t>Milenio Click TABES FLAMA 6.5 Plan</t>
  </si>
  <si>
    <t>Milenio Click TABES FLAMA 6.5 AAE Plan</t>
  </si>
  <si>
    <t>Milenio Click TABES FLAMA 6.5 Real</t>
  </si>
  <si>
    <t>Milenio Click TABES FLAMA 6.5 AAE Real</t>
  </si>
  <si>
    <t>Sub total Box TABES FLAMA 6.5 Plan</t>
  </si>
  <si>
    <t>Sub total Box TABES FLAMA 6.5 AAE Plan</t>
  </si>
  <si>
    <t>Sub total Box TABES FLAMA 6.5 Real</t>
  </si>
  <si>
    <t>Sub total Box TABES FLAMA 6.5 AAE Real</t>
  </si>
  <si>
    <t>Diferencia Box TABES FLAMA 6.5</t>
  </si>
  <si>
    <t>Diferencia Box TABES FLAMA 6.5 AAE</t>
  </si>
  <si>
    <t>Total TABES FLAMA 6.5 Plan</t>
  </si>
  <si>
    <t>Total TABES FLAMA 6.5 AAE Plan</t>
  </si>
  <si>
    <t>Total TABES FLAMA 6.5 Real</t>
  </si>
  <si>
    <t>Total TABES FLAMA 6.5 AAE Real</t>
  </si>
  <si>
    <t>Mel Red Stock</t>
  </si>
  <si>
    <t>Mel Red Stock AAE</t>
  </si>
  <si>
    <t>Mel Gold Stock AAE</t>
  </si>
  <si>
    <t xml:space="preserve">Bold full Stock </t>
  </si>
  <si>
    <t xml:space="preserve">Bold full Prod </t>
  </si>
  <si>
    <t>Bold full Venta</t>
  </si>
  <si>
    <t>Bold full Stock dias</t>
  </si>
  <si>
    <t>Bold full Stock AAE</t>
  </si>
  <si>
    <t>Mill Stock AAE</t>
  </si>
  <si>
    <t>Mel Mint Stock AAE</t>
  </si>
  <si>
    <t>Milenio Red Stock AAE</t>
  </si>
  <si>
    <t>Milenio Gold Stock AAE</t>
  </si>
  <si>
    <t>Milenio Mint Stock AAE</t>
  </si>
  <si>
    <t>Milenio Click Stock AAE</t>
  </si>
  <si>
    <t>Semana 2</t>
  </si>
  <si>
    <t>Semana 3</t>
  </si>
  <si>
    <t>Semana 4</t>
  </si>
  <si>
    <t>T Mes</t>
  </si>
  <si>
    <t>Materiales</t>
  </si>
  <si>
    <t>Rendimiento</t>
  </si>
  <si>
    <t>Cantidad Mat actual</t>
  </si>
  <si>
    <t>Capacidad de Producción</t>
  </si>
  <si>
    <t>Estimación en días</t>
  </si>
  <si>
    <t>Planificación</t>
  </si>
  <si>
    <t>Texto Breve</t>
  </si>
  <si>
    <t>Descripción</t>
  </si>
  <si>
    <t>Cant</t>
  </si>
  <si>
    <t>Unidad</t>
  </si>
  <si>
    <t>Resultado</t>
  </si>
  <si>
    <t>Cantidad</t>
  </si>
  <si>
    <t>Cajas PT</t>
  </si>
  <si>
    <t>Cajas PT diarias</t>
  </si>
  <si>
    <t>Cantidad de días</t>
  </si>
  <si>
    <t>Lunes</t>
  </si>
  <si>
    <t>Resto</t>
  </si>
  <si>
    <t>Resto días</t>
  </si>
  <si>
    <t>Martes</t>
  </si>
  <si>
    <t>Miércoles</t>
  </si>
  <si>
    <t>Jueves</t>
  </si>
  <si>
    <t>Viernes</t>
  </si>
  <si>
    <t>Sábado</t>
  </si>
  <si>
    <t>Domingo</t>
  </si>
  <si>
    <t>Resto S2</t>
  </si>
  <si>
    <t>Resto S3</t>
  </si>
  <si>
    <t>Resto S4</t>
  </si>
  <si>
    <t>Papel Boquilla - MELBOURNE RED</t>
  </si>
  <si>
    <t>BOBINA</t>
  </si>
  <si>
    <t>CAJA PT</t>
  </si>
  <si>
    <t>Papel Boquilla - MELBOURNE GOLD</t>
  </si>
  <si>
    <t>Papel Boquilla - MELBOURNE MINT</t>
  </si>
  <si>
    <t>Papel Boquilla - MILL</t>
  </si>
  <si>
    <t>Papel Boquilla - MILENIO RED</t>
  </si>
  <si>
    <t>Papel Boquilla - MILENIO MINT</t>
  </si>
  <si>
    <t>Papel Boquilla - MILENIO GOLD</t>
  </si>
  <si>
    <t>Papel de Fumar</t>
  </si>
  <si>
    <t>Papel de Fumar para todos los productos</t>
  </si>
  <si>
    <t>Marquilla - MELBOURNE RED</t>
  </si>
  <si>
    <t>Marquilla SOFT - MELBOURNE RED</t>
  </si>
  <si>
    <t>Marquilla - MELBOURNE GOLD</t>
  </si>
  <si>
    <t>Marquilla SOFT - MELBOURNE GOLD</t>
  </si>
  <si>
    <t>Marquilla - MELBOURNE MINT</t>
  </si>
  <si>
    <t>Marquilla SOFT - MELBOURNE MINT</t>
  </si>
  <si>
    <t>Marquilla - MILL</t>
  </si>
  <si>
    <t>Marquilla SOFT - MILL</t>
  </si>
  <si>
    <t>MARQUILLA</t>
  </si>
  <si>
    <t>Marquilla - MILENIO RED</t>
  </si>
  <si>
    <t>Marquilla BOX - MILENIO RED</t>
  </si>
  <si>
    <t>Marquilla - MILENIO MINT</t>
  </si>
  <si>
    <t>Marquilla BOX - MILENIO MINT</t>
  </si>
  <si>
    <t>Marquilla - MILENIO GOLD</t>
  </si>
  <si>
    <t>Marquilla BOX - MILENIO GOLD</t>
  </si>
  <si>
    <t>Poly para SOFT (117) BOPP</t>
  </si>
  <si>
    <t>Poly para BOX (121) POLO BRASIL</t>
  </si>
  <si>
    <t>Poly Fardo SOFT (330mm) BOPP</t>
  </si>
  <si>
    <t>Poly Fardo BOX (350mm) PVC</t>
  </si>
  <si>
    <t>Aluminio para SOFT (113mm)</t>
  </si>
  <si>
    <t>Aluminio para BOX (86mm)</t>
  </si>
  <si>
    <t>CAJA</t>
  </si>
  <si>
    <t>CAJA MILENIO GOLD</t>
  </si>
  <si>
    <t>CAJA Producto terminado - MILENIO GOLD</t>
  </si>
  <si>
    <t>CAJA DE FILTRO</t>
  </si>
  <si>
    <t>Filtro LIGHT POROSO 410 ES</t>
  </si>
  <si>
    <t>Filtro light 410 poroso fabricado en Espert</t>
  </si>
  <si>
    <t>CINTA ADHESIVA CAJA</t>
  </si>
  <si>
    <t>Cinta adhesiva para cierre de cajas</t>
  </si>
  <si>
    <t>STRICH PALLETIZADORA</t>
  </si>
  <si>
    <t>Film strich para palletizadora automatica</t>
  </si>
  <si>
    <t>PALLET</t>
  </si>
  <si>
    <t>PALLET!!</t>
  </si>
  <si>
    <t>STRICH MANUAL</t>
  </si>
  <si>
    <t>Film strich para palletizado manual (cierre superior)</t>
  </si>
  <si>
    <t>LITRO</t>
  </si>
  <si>
    <t>LITROS</t>
  </si>
  <si>
    <t>ADHESIVO 249</t>
  </si>
  <si>
    <t>N/A</t>
  </si>
  <si>
    <t>CAJAS FILTRO</t>
  </si>
  <si>
    <t>FABRICACIÓN DE FILTROS</t>
  </si>
  <si>
    <t>Cajas de filtros</t>
  </si>
  <si>
    <t>Cajas filtro diarias</t>
  </si>
  <si>
    <t>ACETATO</t>
  </si>
  <si>
    <t>Acetato para confección de filtros</t>
  </si>
  <si>
    <t>TRIACETINA</t>
  </si>
  <si>
    <t>Triacetina para confección de filtros</t>
  </si>
  <si>
    <t>HOT MELT</t>
  </si>
  <si>
    <t>Hot Melt para confección de filtros</t>
  </si>
  <si>
    <t>KG</t>
  </si>
  <si>
    <t>PAPEL DE FILTRO POROSO</t>
  </si>
  <si>
    <t>Adhesivo 248</t>
  </si>
  <si>
    <t>Para confección cigarrillo - boquilla</t>
  </si>
  <si>
    <t>Para confección cigarrillo - costura</t>
  </si>
  <si>
    <t>Para confección filtro</t>
  </si>
  <si>
    <t>BALDE</t>
  </si>
  <si>
    <t>BALDES</t>
  </si>
  <si>
    <t>BOLSA 25KG</t>
  </si>
  <si>
    <t>MENTOL</t>
  </si>
  <si>
    <t>Papel Boquilla - BOLD FULL</t>
  </si>
  <si>
    <t>Papel Boquilla - BOLD MINT</t>
  </si>
  <si>
    <t>Marquilla - BOLD FULL</t>
  </si>
  <si>
    <t>Marquilla - BOLD MINT</t>
  </si>
  <si>
    <t>CAJA BOLD MINT</t>
  </si>
  <si>
    <t>CAJA Producto terminado - BOLD MINT</t>
  </si>
  <si>
    <t>TABACO TABES FLAMA 6.5</t>
  </si>
  <si>
    <t>Caja de tabaco TABES FLAMA 6.5 de 100Kg</t>
  </si>
  <si>
    <t>TABACO TABES A DEFINIR</t>
  </si>
  <si>
    <t xml:space="preserve"> MARQUILLA</t>
  </si>
  <si>
    <t>Filtro full 330 fabricado en Espert</t>
  </si>
  <si>
    <t>Filtro FULL  POROSO 330 ES</t>
  </si>
  <si>
    <t>Filtro MINT  POROSO 330 ES</t>
  </si>
  <si>
    <t>TAMBOR 200L</t>
  </si>
  <si>
    <t>CUÑETE</t>
  </si>
  <si>
    <t>CAJA x 4 BOLSAS</t>
  </si>
  <si>
    <t>PALET</t>
  </si>
  <si>
    <t>Filtro mentolado para MNE - MILENIO MINT ES</t>
  </si>
  <si>
    <t>Fitillo-TRANSPARENTE SOFT y BOX</t>
  </si>
  <si>
    <t>Mill Mint (TABES FLAMA 6.5)</t>
  </si>
  <si>
    <t>Mill Mint (TABES FLAMA 6.5 AAE)</t>
  </si>
  <si>
    <t>Papel Boquilla - MILL MINT</t>
  </si>
  <si>
    <t>CAJA MILL MINT</t>
  </si>
  <si>
    <t>CAJA Producto terminado - MILL MINT</t>
  </si>
  <si>
    <t>Marquilla - MILL MINT</t>
  </si>
  <si>
    <t>Marquilla SOFT - MILL MINT</t>
  </si>
  <si>
    <t>Papel blanco para SOFT (113mm)</t>
  </si>
  <si>
    <t>Papel blanco para MILL y BOLD</t>
  </si>
  <si>
    <t>Papel blanco para BOX (86 mm)</t>
  </si>
  <si>
    <t>CAJA VANKIFF</t>
  </si>
  <si>
    <t>CAJA Producto terminado - VANKIFF</t>
  </si>
  <si>
    <t>ESFERA CLICK MENTA</t>
  </si>
  <si>
    <t>ESFERA CLICK SANDÍA</t>
  </si>
  <si>
    <t>ESFERA CLICK SANDÍA (WATERMELON)</t>
  </si>
  <si>
    <t>ESFERA CLICK UVA</t>
  </si>
  <si>
    <t>ESFERA CLICK UVA (GRAPE)</t>
  </si>
  <si>
    <t>ESFERA CLICK MENTOL</t>
  </si>
  <si>
    <t>ESFERA CLICK MENTOL (PEPERMINT)</t>
  </si>
  <si>
    <t>Mill Mint TABES FLAMA 6.5 Plan</t>
  </si>
  <si>
    <t>Mill Mint TABES FLAMA 6.5 AAE Plan</t>
  </si>
  <si>
    <t>Mill Mint TABES FLAMA 6.5 Real</t>
  </si>
  <si>
    <t>Mill Mint TABES FLAMA 6.5 AAE Real</t>
  </si>
  <si>
    <t>Mill Mint Real Total</t>
  </si>
  <si>
    <t>Mill Mint Stock AAE</t>
  </si>
  <si>
    <t xml:space="preserve">Mill Mint Stock </t>
  </si>
  <si>
    <t xml:space="preserve">Mill Mint Prod </t>
  </si>
  <si>
    <t>Mill Mint Venta</t>
  </si>
  <si>
    <t>Mill Mint Stock dias</t>
  </si>
  <si>
    <t>Mill Explosion (TABES FLAMA 6.5)</t>
  </si>
  <si>
    <t>Mill Explosion (TABES FLAMA 6.5 AAE)</t>
  </si>
  <si>
    <t>Filtro Click 360 Explosion</t>
  </si>
  <si>
    <t>Mill Explosion TABES FLAMA 6.5 Plan</t>
  </si>
  <si>
    <t>Mill Explosion TABES FLAMA 6.5 AAE Plan</t>
  </si>
  <si>
    <t>Mill Explosion TABES FLAMA 6.5 Real</t>
  </si>
  <si>
    <t>Mill Explosion TABES FLAMA 6.5 AAE Real</t>
  </si>
  <si>
    <t>Mill Explosion Real Total</t>
  </si>
  <si>
    <t>Filtro Click 360 Explosion Plan</t>
  </si>
  <si>
    <t>Filtro Click 360 Explosion Real</t>
  </si>
  <si>
    <t>Diferencia Filtro 360 Explosion Click</t>
  </si>
  <si>
    <t>Mill Explosion Stock AAE</t>
  </si>
  <si>
    <t xml:space="preserve">Mill Explosion Stock </t>
  </si>
  <si>
    <t>Mill Explosion Prod</t>
  </si>
  <si>
    <t>Mill Explosion Venta</t>
  </si>
  <si>
    <t>Mill Explosion Stock dias</t>
  </si>
  <si>
    <t>Marquilla BOX - Mill Explosion</t>
  </si>
  <si>
    <t>Papel Boquilla - MILL EXPLOSION</t>
  </si>
  <si>
    <t>Filtro Cick 360 Explosion Stock</t>
  </si>
  <si>
    <t>Filtro Cick 360 Explosion Prod</t>
  </si>
  <si>
    <t>Filtro Cick 360 Explosion Consumo</t>
  </si>
  <si>
    <t>Filtro Cick 360 Explosion Stock días</t>
  </si>
  <si>
    <t>Filtro con capsula para MILL EXPLOSION</t>
  </si>
  <si>
    <t>Marquilla - MILL EXPLOSION</t>
  </si>
  <si>
    <t>CAJA LEBONN</t>
  </si>
  <si>
    <t>CAJA Producto terminado - LEBONN</t>
  </si>
  <si>
    <t>Milenio VID ICE (TABES FLAMA 6.5)</t>
  </si>
  <si>
    <t>Milenio VID ICE (TABES FLAMA 6.5 AAE)</t>
  </si>
  <si>
    <t>Milenio PINK WAVE MINTZ (TABES FLAMA 6.5)</t>
  </si>
  <si>
    <t>Milenio PINK WAVE MINTZ (TABES FLAMA 6.5 AAE)</t>
  </si>
  <si>
    <t>Filtro vid ice</t>
  </si>
  <si>
    <t>Filtro pink wave mintz</t>
  </si>
  <si>
    <t>Milenio VID ICE TABES FLAMA 6.5 Plan</t>
  </si>
  <si>
    <t>Milenio VID ICE TABES FLAMA 6.5 AAE Plan</t>
  </si>
  <si>
    <t>Milenio VID ICE TABES FLAMA 6.5 Real</t>
  </si>
  <si>
    <t>Milenio VID ICE TABES FLAMA 6.5 AAE Real</t>
  </si>
  <si>
    <t>Milenio VID ICE Real Total</t>
  </si>
  <si>
    <t>Milenio PINK WAVE MINT TABES FLAMA 6.5 Plan</t>
  </si>
  <si>
    <t>Milenio PINK WAVE MINT TABES FLAMA 6.5 AAE Plan</t>
  </si>
  <si>
    <t>Milenio PINK WAVE MINT TABES FLAMA 6.5 Real</t>
  </si>
  <si>
    <t>Milenio PINK WAVE MINT TABES FLAMA 6.5 AAE Real</t>
  </si>
  <si>
    <t>Milenio PINK WAVE MINT Real Total</t>
  </si>
  <si>
    <t>Filtro vid ice Plan</t>
  </si>
  <si>
    <t>Filtro vid ice Real</t>
  </si>
  <si>
    <t>Diferencia Filtro vid ice</t>
  </si>
  <si>
    <t>Filtro pink wave mintz Plan</t>
  </si>
  <si>
    <t>Filtro pink wave mintz Real</t>
  </si>
  <si>
    <t>Diferencia Filtro pink wave mintz</t>
  </si>
  <si>
    <t>Milenio VID ICE Stock AAE</t>
  </si>
  <si>
    <t xml:space="preserve">Milenio VID ICE Stock </t>
  </si>
  <si>
    <t>Milenio VID ICE Prod</t>
  </si>
  <si>
    <t>Milenio VID ICE Venta</t>
  </si>
  <si>
    <t>Milenio VID ICE Stock dias</t>
  </si>
  <si>
    <t>Milenio PINK WAVE MINT Stock AAE</t>
  </si>
  <si>
    <t xml:space="preserve">Milenio PINK WAVE MINT Stock </t>
  </si>
  <si>
    <t>Milenio PINK WAVE MINT Prod</t>
  </si>
  <si>
    <t>Milenio PINK WAVE MINT Venta</t>
  </si>
  <si>
    <t>Milenio PINK WAVE MINT Stock dias</t>
  </si>
  <si>
    <t>Filtro vid ice Stock</t>
  </si>
  <si>
    <t>Filtro vid ice Prod</t>
  </si>
  <si>
    <t>Filtro vid ice Consumo</t>
  </si>
  <si>
    <t>Filtro vid ice Stock días</t>
  </si>
  <si>
    <t>Filtro pink wave mintz Stock</t>
  </si>
  <si>
    <t>Filtro pink wave mintz Prod</t>
  </si>
  <si>
    <t>Filtro pink wave mintz Consumo</t>
  </si>
  <si>
    <t>Filtro pink wave mintz Stock días</t>
  </si>
  <si>
    <t>Papel Boquilla - MILENIO VID ICE</t>
  </si>
  <si>
    <t>Papel Boquilla - MILENIO PINK WAVE MINTZ</t>
  </si>
  <si>
    <t>Marquilla - MILENIO VID ICE</t>
  </si>
  <si>
    <t>Marquilla BOX - MILENIO VID ICE</t>
  </si>
  <si>
    <t>Marquilla - MILENIO PINK WAVE MINTZ</t>
  </si>
  <si>
    <t>Marquilla BOX - MILENIO PINK WAVE MINTZ</t>
  </si>
  <si>
    <t>CAJA GENERICA BOX</t>
  </si>
  <si>
    <t>CAJA GENERICA SOFT</t>
  </si>
  <si>
    <t>CAJA Producto terminado genérica Box</t>
  </si>
  <si>
    <t>CAJA Producto terminado genérica Soft</t>
  </si>
  <si>
    <t>Adhesivo 9241 (Box)</t>
  </si>
  <si>
    <t>Adhesivo 2044 (Soft y box)</t>
  </si>
  <si>
    <t>ADHESIVO</t>
  </si>
  <si>
    <t>Papel Boquilla - MILENIO ICERGY</t>
  </si>
  <si>
    <t>Marquilla - MILENIO ICERGY</t>
  </si>
  <si>
    <t>Marquilla BOX - MILENIO ICERGY</t>
  </si>
  <si>
    <t>Refuerzo-BLANCO - MILENIO'S</t>
  </si>
  <si>
    <t>Refuerzo - NEGRO - MILENIO'S-MILL</t>
  </si>
  <si>
    <t>Cartulina de Refuerzo para formato BOX - MILENIO RED/GOLD/MINT</t>
  </si>
  <si>
    <t>Cartulina de Refuerzo para formato BOX - MILENIO ICERGY/VID ICE/PINK WAVE MINTZ/MILL EXPLOSION</t>
  </si>
  <si>
    <t>Poly para Linea MELBOURNE-MILL-BOLD</t>
  </si>
  <si>
    <t>Poly para Linea MILENIO'S-MILL</t>
  </si>
  <si>
    <t>Poly para fardo Linea MELBOURNE-MILL-BOLD</t>
  </si>
  <si>
    <t>Poly para fardo línea MILENIO'S-MILL</t>
  </si>
  <si>
    <t>Aluminio para Linea MELBOURNE(RED/GOLD/MINT)</t>
  </si>
  <si>
    <t>Aluminio para linea MILENIO'S-MILL</t>
  </si>
  <si>
    <t>Papel blanco para</t>
  </si>
  <si>
    <t>Filtro con capsula para MILENIO ICERGY</t>
  </si>
  <si>
    <t>Filtro con doble capsula para MILENIO VID ICE</t>
  </si>
  <si>
    <t>Filtro con doble capsula para MILENIO PINK WAVE MINTZ</t>
  </si>
  <si>
    <t>Filtro CLICK -360 CAPS-6- ES(PEPPERMINT)</t>
  </si>
  <si>
    <t>Filtro CLICK -360 CAPS-6- ES(MENTHOL MAX)</t>
  </si>
  <si>
    <t>Filtro CLICK -400 CAPS-12- ES(PEPPERMINT-GRAPE)</t>
  </si>
  <si>
    <t>Filtro CLICK-400 CAPS-12-ES(MENTHOL MAX-WATERMELON)</t>
  </si>
  <si>
    <t xml:space="preserve">Para HLP 1 </t>
  </si>
  <si>
    <t>Para AMF - todas - HLP 2</t>
  </si>
  <si>
    <t>PAPEL DE FILTRO IMPERMEABLE (capsulas)</t>
  </si>
  <si>
    <t>ESFERA CLICK MENTA (MENTHOL MAX)</t>
  </si>
  <si>
    <t>Papel para confección de filtros con capsulas</t>
  </si>
  <si>
    <t>PAPEL DE FILTRO COMUN(para caps) 830 bobinas x 2,5= 2075 cajas de filtros x 25 = 51875 cajas de p/t-BLOQUEADAS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</si>
</sst>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2C0A]General"/>
    <numFmt numFmtId="165" formatCode="[$-2C0A]0"/>
    <numFmt numFmtId="166" formatCode="0.0"/>
    <numFmt numFmtId="167" formatCode="ddd\-dd"/>
    <numFmt numFmtId="168" formatCode="[$-2C0A]0.0"/>
    <numFmt numFmtId="169" formatCode="0.0%"/>
  </numFmts>
  <fonts count="41" x14ac:knownFonts="1"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i/>
      <sz val="10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rgb="FF000000"/>
      <name val="Arial"/>
      <family val="2"/>
    </font>
    <font>
      <b/>
      <u/>
      <sz val="11"/>
      <color rgb="FF000000"/>
      <name val="Calibri"/>
      <family val="2"/>
    </font>
    <font>
      <u/>
      <sz val="7"/>
      <color rgb="FF000000"/>
      <name val="Calibri"/>
      <family val="2"/>
    </font>
    <font>
      <u/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5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  <fill>
      <patternFill patternType="solid">
        <fgColor rgb="FFFBE5D6"/>
        <bgColor rgb="FFFBE5D6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C6E0B4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theme="7" tint="0.59999389629810485"/>
        <bgColor rgb="FFC5E0B4"/>
      </patternFill>
    </fill>
    <fill>
      <patternFill patternType="solid">
        <fgColor theme="7" tint="0.59999389629810485"/>
        <bgColor rgb="FFC6E0B4"/>
      </patternFill>
    </fill>
    <fill>
      <patternFill patternType="solid">
        <fgColor theme="5" tint="0.39997558519241921"/>
        <bgColor rgb="FFFFE6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0B4"/>
      </patternFill>
    </fill>
    <fill>
      <patternFill patternType="solid">
        <fgColor theme="4" tint="0.79998168889431442"/>
        <bgColor rgb="FFC6E0B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rgb="FFFFE699"/>
      </patternFill>
    </fill>
    <fill>
      <patternFill patternType="solid">
        <fgColor theme="0" tint="-4.9989318521683403E-2"/>
        <bgColor rgb="FFD9E1F2"/>
      </patternFill>
    </fill>
    <fill>
      <patternFill patternType="solid">
        <fgColor theme="0" tint="-4.9989318521683403E-2"/>
        <bgColor rgb="FFC6E0B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rgb="FFEDEDED"/>
      </patternFill>
    </fill>
    <fill>
      <patternFill patternType="solid">
        <fgColor theme="0" tint="-0.14999847407452621"/>
        <bgColor rgb="FFC6E0B4"/>
      </patternFill>
    </fill>
    <fill>
      <patternFill patternType="solid">
        <fgColor rgb="FFFFCC66"/>
        <bgColor indexed="64"/>
      </patternFill>
    </fill>
    <fill>
      <patternFill patternType="solid">
        <fgColor rgb="FFFFCC66"/>
        <bgColor rgb="FFC5E0B4"/>
      </patternFill>
    </fill>
    <fill>
      <patternFill patternType="solid">
        <fgColor rgb="FFFFCC66"/>
        <bgColor rgb="FFC6E0B4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9" tint="0.39997558519241921"/>
        <bgColor rgb="FFC6E0B4"/>
      </patternFill>
    </fill>
    <fill>
      <patternFill patternType="solid">
        <fgColor theme="5" tint="0.39997558519241921"/>
        <bgColor rgb="FFC6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rgb="FFC6E0B4"/>
      </patternFill>
    </fill>
    <fill>
      <patternFill patternType="solid">
        <fgColor theme="9" tint="0.59999389629810485"/>
        <bgColor rgb="FFC5E0B4"/>
      </patternFill>
    </fill>
    <fill>
      <patternFill patternType="solid">
        <fgColor theme="3" tint="0.79998168889431442"/>
        <bgColor rgb="FFF2F2F2"/>
      </patternFill>
    </fill>
    <fill>
      <patternFill patternType="solid">
        <fgColor theme="3" tint="0.79998168889431442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4" tint="0.39997558519241921"/>
        <bgColor rgb="FFC6E0B4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4" tint="0.39997558519241921"/>
        <bgColor indexed="64"/>
      </patternFill>
    </fill>
  </fills>
  <borders count="1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8" fillId="0" borderId="0" applyBorder="0" applyProtection="0"/>
    <xf numFmtId="9" fontId="30" fillId="0" borderId="0" applyFont="0" applyFill="0" applyBorder="0" applyAlignment="0" applyProtection="0"/>
    <xf numFmtId="0" fontId="17" fillId="0" borderId="0"/>
    <xf numFmtId="0" fontId="16" fillId="0" borderId="0"/>
  </cellStyleXfs>
  <cellXfs count="1069">
    <xf numFmtId="0" fontId="0" fillId="0" borderId="0" xfId="0"/>
    <xf numFmtId="164" fontId="18" fillId="0" borderId="0" xfId="1"/>
    <xf numFmtId="164" fontId="18" fillId="0" borderId="0" xfId="1" applyAlignment="1">
      <alignment horizontal="center"/>
    </xf>
    <xf numFmtId="164" fontId="19" fillId="0" borderId="0" xfId="1" applyFont="1"/>
    <xf numFmtId="164" fontId="18" fillId="0" borderId="1" xfId="1" applyBorder="1" applyAlignment="1">
      <alignment horizontal="center"/>
    </xf>
    <xf numFmtId="164" fontId="19" fillId="0" borderId="0" xfId="1" applyFont="1" applyAlignment="1">
      <alignment horizontal="center"/>
    </xf>
    <xf numFmtId="165" fontId="18" fillId="0" borderId="0" xfId="1" applyNumberFormat="1" applyAlignment="1">
      <alignment horizontal="center"/>
    </xf>
    <xf numFmtId="164" fontId="18" fillId="2" borderId="3" xfId="1" applyFill="1" applyBorder="1" applyAlignment="1">
      <alignment horizontal="center"/>
    </xf>
    <xf numFmtId="165" fontId="19" fillId="0" borderId="0" xfId="1" applyNumberFormat="1" applyFont="1" applyAlignment="1">
      <alignment horizontal="center"/>
    </xf>
    <xf numFmtId="164" fontId="18" fillId="5" borderId="6" xfId="1" applyFill="1" applyBorder="1" applyAlignment="1">
      <alignment horizontal="center"/>
    </xf>
    <xf numFmtId="164" fontId="18" fillId="0" borderId="7" xfId="1" applyBorder="1"/>
    <xf numFmtId="164" fontId="20" fillId="0" borderId="0" xfId="1" applyFont="1" applyAlignment="1">
      <alignment horizontal="center"/>
    </xf>
    <xf numFmtId="164" fontId="21" fillId="0" borderId="9" xfId="1" applyFont="1" applyBorder="1"/>
    <xf numFmtId="164" fontId="18" fillId="0" borderId="9" xfId="1" applyBorder="1"/>
    <xf numFmtId="164" fontId="18" fillId="7" borderId="12" xfId="1" applyFill="1" applyBorder="1"/>
    <xf numFmtId="164" fontId="18" fillId="0" borderId="4" xfId="1" applyBorder="1" applyAlignment="1">
      <alignment horizontal="center"/>
    </xf>
    <xf numFmtId="165" fontId="18" fillId="0" borderId="4" xfId="1" applyNumberFormat="1" applyBorder="1" applyAlignment="1">
      <alignment horizontal="center"/>
    </xf>
    <xf numFmtId="164" fontId="18" fillId="0" borderId="6" xfId="1" applyBorder="1" applyAlignment="1">
      <alignment horizontal="center"/>
    </xf>
    <xf numFmtId="164" fontId="18" fillId="8" borderId="12" xfId="1" applyFill="1" applyBorder="1"/>
    <xf numFmtId="164" fontId="18" fillId="9" borderId="12" xfId="1" applyFill="1" applyBorder="1"/>
    <xf numFmtId="164" fontId="18" fillId="0" borderId="5" xfId="1" applyBorder="1" applyAlignment="1">
      <alignment horizontal="center"/>
    </xf>
    <xf numFmtId="165" fontId="21" fillId="0" borderId="9" xfId="1" applyNumberFormat="1" applyFont="1" applyBorder="1" applyAlignment="1">
      <alignment horizontal="center"/>
    </xf>
    <xf numFmtId="165" fontId="21" fillId="0" borderId="9" xfId="1" applyNumberFormat="1" applyFont="1" applyBorder="1" applyAlignment="1">
      <alignment horizontal="left"/>
    </xf>
    <xf numFmtId="164" fontId="19" fillId="0" borderId="9" xfId="1" applyFont="1" applyBorder="1" applyAlignment="1">
      <alignment horizontal="center"/>
    </xf>
    <xf numFmtId="165" fontId="19" fillId="0" borderId="9" xfId="1" applyNumberFormat="1" applyFont="1" applyBorder="1" applyAlignment="1">
      <alignment horizontal="center"/>
    </xf>
    <xf numFmtId="165" fontId="22" fillId="0" borderId="0" xfId="1" applyNumberFormat="1" applyFont="1" applyAlignment="1">
      <alignment horizontal="center"/>
    </xf>
    <xf numFmtId="164" fontId="18" fillId="7" borderId="3" xfId="1" applyFill="1" applyBorder="1" applyAlignment="1">
      <alignment horizontal="center"/>
    </xf>
    <xf numFmtId="164" fontId="18" fillId="8" borderId="3" xfId="1" applyFill="1" applyBorder="1" applyAlignment="1">
      <alignment horizontal="center"/>
    </xf>
    <xf numFmtId="164" fontId="18" fillId="8" borderId="0" xfId="1" applyFill="1" applyAlignment="1">
      <alignment horizontal="center"/>
    </xf>
    <xf numFmtId="164" fontId="18" fillId="4" borderId="13" xfId="1" applyFill="1" applyBorder="1"/>
    <xf numFmtId="164" fontId="18" fillId="0" borderId="9" xfId="1" applyBorder="1" applyAlignment="1">
      <alignment horizontal="center"/>
    </xf>
    <xf numFmtId="164" fontId="18" fillId="0" borderId="1" xfId="1" applyBorder="1"/>
    <xf numFmtId="164" fontId="18" fillId="3" borderId="3" xfId="1" applyFill="1" applyBorder="1" applyAlignment="1">
      <alignment horizontal="center"/>
    </xf>
    <xf numFmtId="164" fontId="19" fillId="3" borderId="2" xfId="1" applyFont="1" applyFill="1" applyBorder="1" applyAlignment="1">
      <alignment horizontal="center"/>
    </xf>
    <xf numFmtId="164" fontId="18" fillId="5" borderId="3" xfId="1" applyFill="1" applyBorder="1" applyAlignment="1">
      <alignment horizontal="center"/>
    </xf>
    <xf numFmtId="164" fontId="19" fillId="5" borderId="2" xfId="1" applyFont="1" applyFill="1" applyBorder="1" applyAlignment="1">
      <alignment horizontal="center"/>
    </xf>
    <xf numFmtId="164" fontId="18" fillId="2" borderId="4" xfId="1" applyFill="1" applyBorder="1"/>
    <xf numFmtId="164" fontId="18" fillId="8" borderId="9" xfId="1" applyFill="1" applyBorder="1" applyAlignment="1">
      <alignment horizontal="center"/>
    </xf>
    <xf numFmtId="164" fontId="18" fillId="2" borderId="2" xfId="1" applyFill="1" applyBorder="1" applyAlignment="1">
      <alignment horizontal="center"/>
    </xf>
    <xf numFmtId="164" fontId="18" fillId="7" borderId="4" xfId="1" applyFill="1" applyBorder="1"/>
    <xf numFmtId="164" fontId="18" fillId="7" borderId="5" xfId="1" applyFill="1" applyBorder="1" applyAlignment="1">
      <alignment horizontal="center"/>
    </xf>
    <xf numFmtId="164" fontId="19" fillId="7" borderId="3" xfId="1" applyFont="1" applyFill="1" applyBorder="1" applyAlignment="1">
      <alignment horizontal="center"/>
    </xf>
    <xf numFmtId="164" fontId="19" fillId="7" borderId="2" xfId="1" applyFont="1" applyFill="1" applyBorder="1" applyAlignment="1">
      <alignment horizontal="center"/>
    </xf>
    <xf numFmtId="164" fontId="18" fillId="2" borderId="2" xfId="1" applyFill="1" applyBorder="1"/>
    <xf numFmtId="164" fontId="18" fillId="8" borderId="10" xfId="1" applyFill="1" applyBorder="1" applyAlignment="1">
      <alignment horizontal="center"/>
    </xf>
    <xf numFmtId="164" fontId="18" fillId="2" borderId="1" xfId="1" applyFill="1" applyBorder="1"/>
    <xf numFmtId="165" fontId="18" fillId="11" borderId="28" xfId="1" applyNumberFormat="1" applyFill="1" applyBorder="1" applyAlignment="1">
      <alignment horizontal="center"/>
    </xf>
    <xf numFmtId="164" fontId="18" fillId="11" borderId="28" xfId="1" applyFill="1" applyBorder="1" applyAlignment="1">
      <alignment horizontal="center"/>
    </xf>
    <xf numFmtId="164" fontId="24" fillId="0" borderId="0" xfId="1" applyFont="1" applyAlignment="1">
      <alignment horizontal="center" vertical="center"/>
    </xf>
    <xf numFmtId="16" fontId="25" fillId="0" borderId="14" xfId="1" applyNumberFormat="1" applyFont="1" applyBorder="1" applyAlignment="1">
      <alignment horizontal="center"/>
    </xf>
    <xf numFmtId="167" fontId="19" fillId="0" borderId="1" xfId="1" applyNumberFormat="1" applyFont="1" applyBorder="1" applyAlignment="1">
      <alignment horizontal="center"/>
    </xf>
    <xf numFmtId="165" fontId="18" fillId="11" borderId="3" xfId="1" applyNumberFormat="1" applyFill="1" applyBorder="1" applyAlignment="1">
      <alignment horizontal="center"/>
    </xf>
    <xf numFmtId="165" fontId="18" fillId="11" borderId="0" xfId="1" applyNumberFormat="1" applyFill="1" applyAlignment="1">
      <alignment horizontal="center"/>
    </xf>
    <xf numFmtId="164" fontId="18" fillId="11" borderId="3" xfId="1" applyFill="1" applyBorder="1" applyAlignment="1">
      <alignment horizontal="center"/>
    </xf>
    <xf numFmtId="164" fontId="18" fillId="11" borderId="0" xfId="1" applyFill="1" applyAlignment="1">
      <alignment horizontal="center"/>
    </xf>
    <xf numFmtId="165" fontId="18" fillId="12" borderId="3" xfId="1" applyNumberFormat="1" applyFill="1" applyBorder="1" applyAlignment="1">
      <alignment horizontal="center"/>
    </xf>
    <xf numFmtId="165" fontId="18" fillId="0" borderId="0" xfId="1" applyNumberFormat="1" applyBorder="1" applyAlignment="1">
      <alignment horizontal="center"/>
    </xf>
    <xf numFmtId="164" fontId="18" fillId="11" borderId="8" xfId="1" applyFill="1" applyBorder="1" applyAlignment="1">
      <alignment horizontal="center"/>
    </xf>
    <xf numFmtId="166" fontId="18" fillId="11" borderId="0" xfId="1" applyNumberFormat="1" applyFill="1" applyAlignment="1">
      <alignment horizontal="center"/>
    </xf>
    <xf numFmtId="164" fontId="18" fillId="13" borderId="6" xfId="1" applyFill="1" applyBorder="1" applyAlignment="1">
      <alignment horizontal="center"/>
    </xf>
    <xf numFmtId="164" fontId="18" fillId="13" borderId="11" xfId="1" applyFill="1" applyBorder="1" applyAlignment="1">
      <alignment horizontal="center"/>
    </xf>
    <xf numFmtId="164" fontId="18" fillId="14" borderId="5" xfId="1" applyFill="1" applyBorder="1" applyAlignment="1">
      <alignment horizontal="center"/>
    </xf>
    <xf numFmtId="1" fontId="18" fillId="14" borderId="5" xfId="1" applyNumberFormat="1" applyFill="1" applyBorder="1" applyAlignment="1">
      <alignment horizontal="center"/>
    </xf>
    <xf numFmtId="1" fontId="18" fillId="11" borderId="0" xfId="1" applyNumberFormat="1" applyFill="1" applyAlignment="1">
      <alignment horizontal="center"/>
    </xf>
    <xf numFmtId="164" fontId="18" fillId="13" borderId="5" xfId="1" applyFill="1" applyBorder="1" applyAlignment="1">
      <alignment horizontal="center"/>
    </xf>
    <xf numFmtId="164" fontId="18" fillId="13" borderId="7" xfId="1" applyFill="1" applyBorder="1" applyAlignment="1">
      <alignment horizontal="center"/>
    </xf>
    <xf numFmtId="164" fontId="19" fillId="2" borderId="3" xfId="1" applyFont="1" applyFill="1" applyBorder="1" applyAlignment="1">
      <alignment horizontal="center"/>
    </xf>
    <xf numFmtId="164" fontId="19" fillId="2" borderId="2" xfId="1" applyFont="1" applyFill="1" applyBorder="1" applyAlignment="1">
      <alignment horizontal="center"/>
    </xf>
    <xf numFmtId="164" fontId="19" fillId="11" borderId="14" xfId="1" applyFont="1" applyFill="1" applyBorder="1" applyAlignment="1">
      <alignment horizontal="center"/>
    </xf>
    <xf numFmtId="16" fontId="25" fillId="11" borderId="14" xfId="1" applyNumberFormat="1" applyFont="1" applyFill="1" applyBorder="1" applyAlignment="1">
      <alignment horizontal="center"/>
    </xf>
    <xf numFmtId="167" fontId="19" fillId="11" borderId="1" xfId="1" applyNumberFormat="1" applyFont="1" applyFill="1" applyBorder="1" applyAlignment="1">
      <alignment horizontal="center"/>
    </xf>
    <xf numFmtId="164" fontId="19" fillId="11" borderId="7" xfId="1" applyFont="1" applyFill="1" applyBorder="1" applyAlignment="1">
      <alignment horizontal="center"/>
    </xf>
    <xf numFmtId="164" fontId="19" fillId="11" borderId="4" xfId="1" applyFont="1" applyFill="1" applyBorder="1" applyAlignment="1">
      <alignment horizontal="center"/>
    </xf>
    <xf numFmtId="164" fontId="18" fillId="0" borderId="0" xfId="1" applyBorder="1" applyAlignment="1">
      <alignment horizontal="left"/>
    </xf>
    <xf numFmtId="164" fontId="21" fillId="0" borderId="0" xfId="1" applyFont="1" applyBorder="1" applyAlignment="1">
      <alignment horizontal="center"/>
    </xf>
    <xf numFmtId="164" fontId="21" fillId="0" borderId="0" xfId="1" applyFont="1" applyBorder="1" applyAlignment="1">
      <alignment horizontal="right"/>
    </xf>
    <xf numFmtId="164" fontId="21" fillId="0" borderId="30" xfId="1" applyFont="1" applyBorder="1" applyAlignment="1">
      <alignment horizontal="left"/>
    </xf>
    <xf numFmtId="164" fontId="19" fillId="0" borderId="0" xfId="1" applyFont="1" applyBorder="1" applyAlignment="1">
      <alignment horizontal="center"/>
    </xf>
    <xf numFmtId="16" fontId="25" fillId="0" borderId="0" xfId="1" applyNumberFormat="1" applyFont="1" applyBorder="1" applyAlignment="1">
      <alignment horizontal="center"/>
    </xf>
    <xf numFmtId="164" fontId="26" fillId="0" borderId="0" xfId="1" applyFont="1" applyBorder="1" applyAlignment="1">
      <alignment horizontal="right"/>
    </xf>
    <xf numFmtId="164" fontId="27" fillId="0" borderId="0" xfId="1" applyFont="1" applyBorder="1"/>
    <xf numFmtId="164" fontId="18" fillId="0" borderId="0" xfId="1" applyBorder="1" applyAlignment="1">
      <alignment horizontal="center"/>
    </xf>
    <xf numFmtId="165" fontId="18" fillId="15" borderId="3" xfId="1" applyNumberFormat="1" applyFill="1" applyBorder="1" applyAlignment="1">
      <alignment horizontal="center"/>
    </xf>
    <xf numFmtId="165" fontId="18" fillId="11" borderId="0" xfId="1" applyNumberFormat="1" applyFill="1" applyBorder="1" applyAlignment="1">
      <alignment horizontal="center"/>
    </xf>
    <xf numFmtId="164" fontId="18" fillId="11" borderId="0" xfId="1" applyFill="1" applyBorder="1" applyAlignment="1">
      <alignment horizontal="center"/>
    </xf>
    <xf numFmtId="164" fontId="18" fillId="6" borderId="0" xfId="1" applyFill="1" applyBorder="1" applyAlignment="1">
      <alignment horizontal="center"/>
    </xf>
    <xf numFmtId="164" fontId="19" fillId="3" borderId="3" xfId="1" applyFont="1" applyFill="1" applyBorder="1" applyAlignment="1">
      <alignment horizontal="center"/>
    </xf>
    <xf numFmtId="166" fontId="18" fillId="11" borderId="0" xfId="1" applyNumberFormat="1" applyFill="1" applyBorder="1" applyAlignment="1">
      <alignment horizontal="center"/>
    </xf>
    <xf numFmtId="164" fontId="18" fillId="6" borderId="6" xfId="1" applyFill="1" applyBorder="1" applyAlignment="1">
      <alignment horizontal="center"/>
    </xf>
    <xf numFmtId="164" fontId="19" fillId="5" borderId="3" xfId="1" applyFont="1" applyFill="1" applyBorder="1" applyAlignment="1">
      <alignment horizontal="center"/>
    </xf>
    <xf numFmtId="164" fontId="18" fillId="3" borderId="5" xfId="1" applyFill="1" applyBorder="1"/>
    <xf numFmtId="164" fontId="18" fillId="5" borderId="0" xfId="1" applyFill="1" applyBorder="1" applyAlignment="1">
      <alignment horizontal="center"/>
    </xf>
    <xf numFmtId="164" fontId="18" fillId="6" borderId="20" xfId="1" applyFill="1" applyBorder="1" applyAlignment="1">
      <alignment horizontal="center"/>
    </xf>
    <xf numFmtId="164" fontId="18" fillId="6" borderId="21" xfId="1" applyFill="1" applyBorder="1" applyAlignment="1">
      <alignment horizontal="center"/>
    </xf>
    <xf numFmtId="165" fontId="18" fillId="11" borderId="20" xfId="1" applyNumberFormat="1" applyFill="1" applyBorder="1" applyAlignment="1">
      <alignment horizontal="center"/>
    </xf>
    <xf numFmtId="165" fontId="18" fillId="11" borderId="21" xfId="1" applyNumberFormat="1" applyFill="1" applyBorder="1" applyAlignment="1">
      <alignment horizontal="center"/>
    </xf>
    <xf numFmtId="166" fontId="18" fillId="11" borderId="23" xfId="1" applyNumberFormat="1" applyFill="1" applyBorder="1" applyAlignment="1">
      <alignment horizontal="center"/>
    </xf>
    <xf numFmtId="164" fontId="18" fillId="5" borderId="5" xfId="1" applyFill="1" applyBorder="1"/>
    <xf numFmtId="164" fontId="18" fillId="5" borderId="7" xfId="1" applyFill="1" applyBorder="1"/>
    <xf numFmtId="166" fontId="18" fillId="11" borderId="21" xfId="1" applyNumberFormat="1" applyFill="1" applyBorder="1" applyAlignment="1">
      <alignment horizontal="center"/>
    </xf>
    <xf numFmtId="164" fontId="18" fillId="8" borderId="0" xfId="1" applyFill="1" applyBorder="1" applyAlignment="1">
      <alignment horizontal="center"/>
    </xf>
    <xf numFmtId="164" fontId="18" fillId="5" borderId="20" xfId="1" applyFill="1" applyBorder="1" applyAlignment="1">
      <alignment horizontal="center"/>
    </xf>
    <xf numFmtId="164" fontId="18" fillId="5" borderId="21" xfId="1" applyFill="1" applyBorder="1" applyAlignment="1">
      <alignment horizontal="center"/>
    </xf>
    <xf numFmtId="164" fontId="18" fillId="11" borderId="20" xfId="1" applyFill="1" applyBorder="1" applyAlignment="1">
      <alignment horizontal="center"/>
    </xf>
    <xf numFmtId="164" fontId="18" fillId="11" borderId="21" xfId="1" applyFill="1" applyBorder="1" applyAlignment="1">
      <alignment horizontal="center"/>
    </xf>
    <xf numFmtId="166" fontId="18" fillId="11" borderId="22" xfId="1" applyNumberFormat="1" applyFill="1" applyBorder="1" applyAlignment="1">
      <alignment horizontal="center"/>
    </xf>
    <xf numFmtId="166" fontId="18" fillId="11" borderId="30" xfId="1" applyNumberFormat="1" applyFill="1" applyBorder="1" applyAlignment="1">
      <alignment horizontal="center"/>
    </xf>
    <xf numFmtId="164" fontId="18" fillId="2" borderId="5" xfId="1" applyFill="1" applyBorder="1"/>
    <xf numFmtId="166" fontId="18" fillId="11" borderId="20" xfId="1" applyNumberFormat="1" applyFill="1" applyBorder="1" applyAlignment="1">
      <alignment horizontal="center"/>
    </xf>
    <xf numFmtId="164" fontId="18" fillId="8" borderId="20" xfId="1" applyFill="1" applyBorder="1" applyAlignment="1">
      <alignment horizontal="center"/>
    </xf>
    <xf numFmtId="164" fontId="18" fillId="8" borderId="21" xfId="1" applyFill="1" applyBorder="1" applyAlignment="1">
      <alignment horizontal="center"/>
    </xf>
    <xf numFmtId="168" fontId="18" fillId="11" borderId="20" xfId="1" applyNumberFormat="1" applyFill="1" applyBorder="1" applyAlignment="1">
      <alignment horizontal="center"/>
    </xf>
    <xf numFmtId="168" fontId="18" fillId="11" borderId="0" xfId="1" applyNumberFormat="1" applyFill="1" applyBorder="1" applyAlignment="1">
      <alignment horizontal="center"/>
    </xf>
    <xf numFmtId="164" fontId="18" fillId="0" borderId="0" xfId="1" applyBorder="1"/>
    <xf numFmtId="164" fontId="18" fillId="0" borderId="0" xfId="1" applyProtection="1"/>
    <xf numFmtId="164" fontId="21" fillId="0" borderId="0" xfId="1" applyFont="1" applyBorder="1" applyAlignment="1" applyProtection="1">
      <alignment horizontal="right"/>
    </xf>
    <xf numFmtId="164" fontId="19" fillId="0" borderId="0" xfId="1" applyFont="1" applyBorder="1" applyAlignment="1" applyProtection="1">
      <alignment horizontal="center"/>
    </xf>
    <xf numFmtId="16" fontId="25" fillId="0" borderId="0" xfId="1" applyNumberFormat="1" applyFont="1" applyBorder="1" applyAlignment="1" applyProtection="1">
      <alignment horizontal="center"/>
    </xf>
    <xf numFmtId="164" fontId="18" fillId="0" borderId="0" xfId="1" applyAlignment="1" applyProtection="1">
      <alignment horizontal="center"/>
    </xf>
    <xf numFmtId="164" fontId="19" fillId="0" borderId="34" xfId="1" applyFont="1" applyBorder="1"/>
    <xf numFmtId="164" fontId="19" fillId="0" borderId="38" xfId="1" applyFont="1" applyBorder="1"/>
    <xf numFmtId="165" fontId="18" fillId="11" borderId="40" xfId="1" applyNumberFormat="1" applyFill="1" applyBorder="1" applyAlignment="1">
      <alignment horizontal="center"/>
    </xf>
    <xf numFmtId="164" fontId="18" fillId="0" borderId="0" xfId="1" applyBorder="1" applyProtection="1"/>
    <xf numFmtId="164" fontId="18" fillId="0" borderId="0" xfId="1" applyBorder="1" applyAlignment="1" applyProtection="1">
      <alignment horizontal="left"/>
    </xf>
    <xf numFmtId="165" fontId="18" fillId="11" borderId="43" xfId="1" applyNumberFormat="1" applyFill="1" applyBorder="1" applyAlignment="1">
      <alignment horizontal="center"/>
    </xf>
    <xf numFmtId="165" fontId="18" fillId="16" borderId="1" xfId="1" applyNumberFormat="1" applyFill="1" applyBorder="1" applyAlignment="1">
      <alignment horizontal="center"/>
    </xf>
    <xf numFmtId="165" fontId="18" fillId="16" borderId="11" xfId="1" applyNumberFormat="1" applyFill="1" applyBorder="1" applyAlignment="1">
      <alignment horizontal="center"/>
    </xf>
    <xf numFmtId="165" fontId="18" fillId="17" borderId="1" xfId="1" applyNumberFormat="1" applyFill="1" applyBorder="1" applyAlignment="1">
      <alignment horizontal="center"/>
    </xf>
    <xf numFmtId="165" fontId="18" fillId="17" borderId="11" xfId="1" applyNumberFormat="1" applyFill="1" applyBorder="1" applyAlignment="1">
      <alignment horizontal="center"/>
    </xf>
    <xf numFmtId="164" fontId="18" fillId="19" borderId="5" xfId="1" applyFill="1" applyBorder="1"/>
    <xf numFmtId="164" fontId="18" fillId="18" borderId="20" xfId="1" applyFill="1" applyBorder="1" applyAlignment="1">
      <alignment horizontal="center"/>
    </xf>
    <xf numFmtId="164" fontId="18" fillId="18" borderId="0" xfId="1" applyFill="1" applyBorder="1" applyAlignment="1">
      <alignment horizontal="center"/>
    </xf>
    <xf numFmtId="164" fontId="18" fillId="18" borderId="21" xfId="1" applyFill="1" applyBorder="1" applyAlignment="1">
      <alignment horizontal="center"/>
    </xf>
    <xf numFmtId="164" fontId="18" fillId="20" borderId="6" xfId="1" applyFill="1" applyBorder="1" applyAlignment="1">
      <alignment horizontal="center"/>
    </xf>
    <xf numFmtId="164" fontId="18" fillId="19" borderId="3" xfId="1" applyFill="1" applyBorder="1" applyAlignment="1">
      <alignment horizontal="center"/>
    </xf>
    <xf numFmtId="164" fontId="19" fillId="19" borderId="3" xfId="1" applyFont="1" applyFill="1" applyBorder="1" applyAlignment="1">
      <alignment horizontal="center"/>
    </xf>
    <xf numFmtId="164" fontId="18" fillId="20" borderId="11" xfId="1" applyFill="1" applyBorder="1" applyAlignment="1">
      <alignment horizontal="center"/>
    </xf>
    <xf numFmtId="164" fontId="18" fillId="19" borderId="2" xfId="1" applyFill="1" applyBorder="1" applyAlignment="1">
      <alignment horizontal="center"/>
    </xf>
    <xf numFmtId="164" fontId="18" fillId="23" borderId="3" xfId="1" applyFill="1" applyBorder="1" applyAlignment="1">
      <alignment horizontal="center"/>
    </xf>
    <xf numFmtId="165" fontId="18" fillId="24" borderId="3" xfId="1" applyNumberFormat="1" applyFill="1" applyBorder="1" applyAlignment="1">
      <alignment horizontal="center"/>
    </xf>
    <xf numFmtId="164" fontId="18" fillId="24" borderId="3" xfId="1" applyFill="1" applyBorder="1" applyAlignment="1">
      <alignment horizontal="center"/>
    </xf>
    <xf numFmtId="164" fontId="19" fillId="15" borderId="1" xfId="1" applyFont="1" applyFill="1" applyBorder="1" applyAlignment="1">
      <alignment horizontal="center"/>
    </xf>
    <xf numFmtId="164" fontId="19" fillId="15" borderId="3" xfId="1" applyFont="1" applyFill="1" applyBorder="1" applyAlignment="1">
      <alignment horizontal="center"/>
    </xf>
    <xf numFmtId="164" fontId="19" fillId="15" borderId="2" xfId="1" applyFont="1" applyFill="1" applyBorder="1" applyAlignment="1">
      <alignment horizontal="center"/>
    </xf>
    <xf numFmtId="164" fontId="18" fillId="27" borderId="0" xfId="1" applyFill="1" applyAlignment="1">
      <alignment horizontal="center"/>
    </xf>
    <xf numFmtId="165" fontId="18" fillId="28" borderId="1" xfId="1" applyNumberFormat="1" applyFill="1" applyBorder="1" applyAlignment="1">
      <alignment horizontal="center"/>
    </xf>
    <xf numFmtId="165" fontId="18" fillId="28" borderId="11" xfId="1" applyNumberFormat="1" applyFill="1" applyBorder="1" applyAlignment="1">
      <alignment horizontal="center"/>
    </xf>
    <xf numFmtId="165" fontId="18" fillId="28" borderId="37" xfId="1" applyNumberFormat="1" applyFill="1" applyBorder="1" applyAlignment="1">
      <alignment horizontal="center"/>
    </xf>
    <xf numFmtId="164" fontId="19" fillId="28" borderId="44" xfId="1" applyFont="1" applyFill="1" applyBorder="1"/>
    <xf numFmtId="164" fontId="19" fillId="16" borderId="36" xfId="1" applyFont="1" applyFill="1" applyBorder="1"/>
    <xf numFmtId="164" fontId="19" fillId="17" borderId="36" xfId="1" applyFont="1" applyFill="1" applyBorder="1"/>
    <xf numFmtId="165" fontId="18" fillId="29" borderId="3" xfId="1" applyNumberFormat="1" applyFill="1" applyBorder="1" applyAlignment="1">
      <alignment horizontal="center"/>
    </xf>
    <xf numFmtId="164" fontId="18" fillId="30" borderId="3" xfId="1" applyFill="1" applyBorder="1" applyAlignment="1">
      <alignment horizontal="center"/>
    </xf>
    <xf numFmtId="164" fontId="18" fillId="31" borderId="3" xfId="1" applyFill="1" applyBorder="1" applyAlignment="1">
      <alignment horizontal="center"/>
    </xf>
    <xf numFmtId="164" fontId="18" fillId="0" borderId="4" xfId="1" applyBorder="1" applyAlignment="1" applyProtection="1">
      <alignment horizontal="center"/>
    </xf>
    <xf numFmtId="164" fontId="18" fillId="8" borderId="3" xfId="1" applyFill="1" applyBorder="1" applyAlignment="1" applyProtection="1">
      <alignment horizontal="center"/>
    </xf>
    <xf numFmtId="164" fontId="18" fillId="23" borderId="3" xfId="1" applyFill="1" applyBorder="1" applyAlignment="1" applyProtection="1">
      <alignment horizontal="center"/>
    </xf>
    <xf numFmtId="165" fontId="18" fillId="24" borderId="3" xfId="1" applyNumberFormat="1" applyFill="1" applyBorder="1" applyAlignment="1" applyProtection="1">
      <alignment horizontal="center"/>
    </xf>
    <xf numFmtId="164" fontId="18" fillId="7" borderId="3" xfId="1" applyFill="1" applyBorder="1" applyAlignment="1" applyProtection="1">
      <alignment horizontal="center"/>
    </xf>
    <xf numFmtId="165" fontId="18" fillId="15" borderId="3" xfId="1" applyNumberFormat="1" applyFill="1" applyBorder="1" applyAlignment="1" applyProtection="1">
      <alignment horizontal="center"/>
    </xf>
    <xf numFmtId="165" fontId="18" fillId="28" borderId="1" xfId="1" applyNumberFormat="1" applyFill="1" applyBorder="1" applyAlignment="1" applyProtection="1">
      <alignment horizontal="center"/>
    </xf>
    <xf numFmtId="165" fontId="18" fillId="16" borderId="1" xfId="1" applyNumberFormat="1" applyFill="1" applyBorder="1" applyAlignment="1" applyProtection="1">
      <alignment horizontal="center"/>
    </xf>
    <xf numFmtId="165" fontId="18" fillId="17" borderId="1" xfId="1" applyNumberFormat="1" applyFill="1" applyBorder="1" applyAlignment="1" applyProtection="1">
      <alignment horizontal="center"/>
    </xf>
    <xf numFmtId="164" fontId="18" fillId="6" borderId="0" xfId="1" applyFill="1" applyBorder="1" applyAlignment="1" applyProtection="1">
      <alignment horizontal="center"/>
    </xf>
    <xf numFmtId="165" fontId="18" fillId="11" borderId="47" xfId="1" applyNumberFormat="1" applyFill="1" applyBorder="1" applyAlignment="1">
      <alignment horizontal="center"/>
    </xf>
    <xf numFmtId="165" fontId="18" fillId="11" borderId="48" xfId="1" applyNumberFormat="1" applyFill="1" applyBorder="1" applyAlignment="1">
      <alignment horizontal="center"/>
    </xf>
    <xf numFmtId="165" fontId="18" fillId="0" borderId="35" xfId="1" applyNumberFormat="1" applyBorder="1" applyAlignment="1">
      <alignment horizontal="center"/>
    </xf>
    <xf numFmtId="164" fontId="18" fillId="0" borderId="0" xfId="1" applyBorder="1" applyAlignment="1">
      <alignment horizontal="center" vertical="center"/>
    </xf>
    <xf numFmtId="165" fontId="18" fillId="0" borderId="2" xfId="1" applyNumberFormat="1" applyBorder="1" applyAlignment="1">
      <alignment horizontal="center"/>
    </xf>
    <xf numFmtId="165" fontId="18" fillId="0" borderId="2" xfId="1" applyNumberFormat="1" applyBorder="1" applyAlignment="1" applyProtection="1">
      <alignment horizontal="center"/>
    </xf>
    <xf numFmtId="164" fontId="18" fillId="0" borderId="2" xfId="1" applyBorder="1" applyAlignment="1">
      <alignment horizontal="center"/>
    </xf>
    <xf numFmtId="165" fontId="18" fillId="11" borderId="49" xfId="1" applyNumberFormat="1" applyFill="1" applyBorder="1" applyAlignment="1">
      <alignment horizontal="center"/>
    </xf>
    <xf numFmtId="165" fontId="18" fillId="11" borderId="45" xfId="1" applyNumberFormat="1" applyFill="1" applyBorder="1" applyAlignment="1">
      <alignment horizontal="center"/>
    </xf>
    <xf numFmtId="165" fontId="18" fillId="0" borderId="14" xfId="1" applyNumberFormat="1" applyBorder="1" applyAlignment="1">
      <alignment horizontal="center"/>
    </xf>
    <xf numFmtId="165" fontId="18" fillId="0" borderId="14" xfId="1" applyNumberFormat="1" applyBorder="1" applyAlignment="1" applyProtection="1">
      <alignment horizontal="center"/>
    </xf>
    <xf numFmtId="164" fontId="18" fillId="0" borderId="14" xfId="1" applyBorder="1" applyAlignment="1">
      <alignment horizontal="center"/>
    </xf>
    <xf numFmtId="164" fontId="18" fillId="0" borderId="14" xfId="1" applyBorder="1" applyAlignment="1" applyProtection="1">
      <alignment horizontal="center"/>
    </xf>
    <xf numFmtId="164" fontId="18" fillId="6" borderId="50" xfId="1" applyFill="1" applyBorder="1"/>
    <xf numFmtId="165" fontId="18" fillId="0" borderId="41" xfId="1" applyNumberFormat="1" applyBorder="1" applyAlignment="1">
      <alignment horizontal="center"/>
    </xf>
    <xf numFmtId="164" fontId="18" fillId="0" borderId="41" xfId="1" applyBorder="1" applyAlignment="1">
      <alignment horizontal="center"/>
    </xf>
    <xf numFmtId="164" fontId="18" fillId="0" borderId="51" xfId="1" applyBorder="1" applyAlignment="1">
      <alignment horizontal="center"/>
    </xf>
    <xf numFmtId="164" fontId="18" fillId="6" borderId="52" xfId="1" applyFill="1" applyBorder="1"/>
    <xf numFmtId="164" fontId="18" fillId="0" borderId="53" xfId="1" applyBorder="1" applyAlignment="1">
      <alignment horizontal="center"/>
    </xf>
    <xf numFmtId="164" fontId="18" fillId="7" borderId="52" xfId="1" applyFill="1" applyBorder="1"/>
    <xf numFmtId="164" fontId="18" fillId="8" borderId="52" xfId="1" applyFill="1" applyBorder="1"/>
    <xf numFmtId="164" fontId="18" fillId="18" borderId="52" xfId="1" applyFill="1" applyBorder="1"/>
    <xf numFmtId="164" fontId="19" fillId="9" borderId="58" xfId="1" applyFont="1" applyFill="1" applyBorder="1"/>
    <xf numFmtId="165" fontId="18" fillId="9" borderId="59" xfId="1" applyNumberFormat="1" applyFill="1" applyBorder="1" applyAlignment="1">
      <alignment horizontal="center"/>
    </xf>
    <xf numFmtId="164" fontId="19" fillId="9" borderId="32" xfId="1" applyFont="1" applyFill="1" applyBorder="1"/>
    <xf numFmtId="165" fontId="18" fillId="9" borderId="33" xfId="1" applyNumberFormat="1" applyFill="1" applyBorder="1" applyAlignment="1">
      <alignment horizontal="center"/>
    </xf>
    <xf numFmtId="164" fontId="19" fillId="10" borderId="58" xfId="1" applyFont="1" applyFill="1" applyBorder="1"/>
    <xf numFmtId="165" fontId="18" fillId="10" borderId="59" xfId="1" applyNumberFormat="1" applyFill="1" applyBorder="1" applyAlignment="1">
      <alignment horizontal="center"/>
    </xf>
    <xf numFmtId="164" fontId="19" fillId="10" borderId="61" xfId="1" applyFont="1" applyFill="1" applyBorder="1"/>
    <xf numFmtId="165" fontId="18" fillId="10" borderId="62" xfId="1" applyNumberFormat="1" applyFill="1" applyBorder="1" applyAlignment="1">
      <alignment horizontal="center"/>
    </xf>
    <xf numFmtId="164" fontId="19" fillId="11" borderId="32" xfId="1" applyFont="1" applyFill="1" applyBorder="1"/>
    <xf numFmtId="165" fontId="19" fillId="11" borderId="33" xfId="1" applyNumberFormat="1" applyFont="1" applyFill="1" applyBorder="1" applyAlignment="1">
      <alignment horizontal="center"/>
    </xf>
    <xf numFmtId="165" fontId="18" fillId="11" borderId="25" xfId="1" applyNumberFormat="1" applyFill="1" applyBorder="1" applyAlignment="1">
      <alignment horizontal="center"/>
    </xf>
    <xf numFmtId="165" fontId="18" fillId="6" borderId="25" xfId="1" applyNumberFormat="1" applyFill="1" applyBorder="1" applyAlignment="1">
      <alignment horizontal="center"/>
    </xf>
    <xf numFmtId="165" fontId="18" fillId="6" borderId="20" xfId="1" applyNumberFormat="1" applyFill="1" applyBorder="1" applyAlignment="1">
      <alignment horizontal="center"/>
    </xf>
    <xf numFmtId="165" fontId="19" fillId="11" borderId="25" xfId="1" applyNumberFormat="1" applyFont="1" applyFill="1" applyBorder="1" applyAlignment="1">
      <alignment horizontal="center"/>
    </xf>
    <xf numFmtId="165" fontId="19" fillId="0" borderId="25" xfId="1" applyNumberFormat="1" applyFont="1" applyBorder="1" applyAlignment="1">
      <alignment horizontal="center"/>
    </xf>
    <xf numFmtId="164" fontId="23" fillId="0" borderId="32" xfId="1" applyFont="1" applyBorder="1"/>
    <xf numFmtId="167" fontId="19" fillId="11" borderId="33" xfId="1" applyNumberFormat="1" applyFont="1" applyFill="1" applyBorder="1" applyAlignment="1">
      <alignment horizontal="center"/>
    </xf>
    <xf numFmtId="164" fontId="18" fillId="3" borderId="64" xfId="1" applyFill="1" applyBorder="1"/>
    <xf numFmtId="165" fontId="18" fillId="11" borderId="62" xfId="1" applyNumberFormat="1" applyFill="1" applyBorder="1" applyAlignment="1">
      <alignment horizontal="center"/>
    </xf>
    <xf numFmtId="165" fontId="18" fillId="11" borderId="65" xfId="1" applyNumberFormat="1" applyFill="1" applyBorder="1" applyAlignment="1">
      <alignment horizontal="center"/>
    </xf>
    <xf numFmtId="164" fontId="18" fillId="3" borderId="66" xfId="1" applyFill="1" applyBorder="1"/>
    <xf numFmtId="164" fontId="18" fillId="3" borderId="67" xfId="1" applyFill="1" applyBorder="1"/>
    <xf numFmtId="164" fontId="18" fillId="3" borderId="44" xfId="1" applyFill="1" applyBorder="1"/>
    <xf numFmtId="164" fontId="18" fillId="5" borderId="36" xfId="1" applyFill="1" applyBorder="1"/>
    <xf numFmtId="164" fontId="18" fillId="5" borderId="44" xfId="1" applyFill="1" applyBorder="1"/>
    <xf numFmtId="164" fontId="18" fillId="2" borderId="36" xfId="1" applyFill="1" applyBorder="1"/>
    <xf numFmtId="164" fontId="18" fillId="2" borderId="44" xfId="1" applyFill="1" applyBorder="1"/>
    <xf numFmtId="164" fontId="18" fillId="22" borderId="36" xfId="1" applyFill="1" applyBorder="1"/>
    <xf numFmtId="165" fontId="19" fillId="0" borderId="62" xfId="1" applyNumberFormat="1" applyFont="1" applyBorder="1" applyAlignment="1">
      <alignment horizontal="center"/>
    </xf>
    <xf numFmtId="165" fontId="19" fillId="0" borderId="69" xfId="1" applyNumberFormat="1" applyFont="1" applyBorder="1" applyAlignment="1">
      <alignment horizontal="center"/>
    </xf>
    <xf numFmtId="164" fontId="18" fillId="24" borderId="46" xfId="1" applyFill="1" applyBorder="1"/>
    <xf numFmtId="164" fontId="18" fillId="24" borderId="36" xfId="1" applyFill="1" applyBorder="1"/>
    <xf numFmtId="164" fontId="18" fillId="24" borderId="0" xfId="1" applyFill="1" applyBorder="1" applyAlignment="1">
      <alignment horizontal="center"/>
    </xf>
    <xf numFmtId="164" fontId="18" fillId="29" borderId="0" xfId="1" applyFill="1" applyBorder="1" applyAlignment="1">
      <alignment horizontal="center"/>
    </xf>
    <xf numFmtId="164" fontId="18" fillId="7" borderId="36" xfId="1" applyFill="1" applyBorder="1"/>
    <xf numFmtId="164" fontId="18" fillId="7" borderId="44" xfId="1" applyFill="1" applyBorder="1"/>
    <xf numFmtId="165" fontId="19" fillId="0" borderId="65" xfId="1" applyNumberFormat="1" applyFont="1" applyBorder="1" applyAlignment="1">
      <alignment horizontal="center"/>
    </xf>
    <xf numFmtId="165" fontId="19" fillId="0" borderId="20" xfId="1" applyNumberFormat="1" applyFont="1" applyBorder="1" applyAlignment="1">
      <alignment horizontal="center"/>
    </xf>
    <xf numFmtId="165" fontId="19" fillId="0" borderId="70" xfId="1" applyNumberFormat="1" applyFont="1" applyBorder="1" applyAlignment="1">
      <alignment horizontal="center"/>
    </xf>
    <xf numFmtId="164" fontId="18" fillId="22" borderId="44" xfId="1" applyFill="1" applyBorder="1"/>
    <xf numFmtId="164" fontId="19" fillId="0" borderId="50" xfId="1" applyFont="1" applyBorder="1"/>
    <xf numFmtId="165" fontId="19" fillId="12" borderId="24" xfId="1" applyNumberFormat="1" applyFont="1" applyFill="1" applyBorder="1" applyAlignment="1">
      <alignment horizontal="center"/>
    </xf>
    <xf numFmtId="165" fontId="19" fillId="12" borderId="26" xfId="1" applyNumberFormat="1" applyFont="1" applyFill="1" applyBorder="1" applyAlignment="1">
      <alignment horizontal="center"/>
    </xf>
    <xf numFmtId="164" fontId="19" fillId="0" borderId="52" xfId="1" applyFont="1" applyBorder="1"/>
    <xf numFmtId="165" fontId="18" fillId="0" borderId="26" xfId="1" applyNumberFormat="1" applyBorder="1" applyAlignment="1">
      <alignment horizontal="center"/>
    </xf>
    <xf numFmtId="164" fontId="19" fillId="28" borderId="67" xfId="1" applyFont="1" applyFill="1" applyBorder="1"/>
    <xf numFmtId="165" fontId="18" fillId="28" borderId="3" xfId="1" applyNumberFormat="1" applyFill="1" applyBorder="1" applyAlignment="1">
      <alignment horizontal="center"/>
    </xf>
    <xf numFmtId="165" fontId="18" fillId="25" borderId="3" xfId="1" applyNumberFormat="1" applyFill="1" applyBorder="1" applyAlignment="1" applyProtection="1">
      <alignment horizontal="center"/>
    </xf>
    <xf numFmtId="165" fontId="18" fillId="25" borderId="3" xfId="1" applyNumberFormat="1" applyFill="1" applyBorder="1" applyAlignment="1">
      <alignment horizontal="center"/>
    </xf>
    <xf numFmtId="165" fontId="18" fillId="25" borderId="0" xfId="1" applyNumberFormat="1" applyFill="1" applyBorder="1" applyAlignment="1">
      <alignment horizontal="center"/>
    </xf>
    <xf numFmtId="164" fontId="29" fillId="0" borderId="32" xfId="1" applyFont="1" applyBorder="1"/>
    <xf numFmtId="165" fontId="19" fillId="0" borderId="73" xfId="1" applyNumberFormat="1" applyFont="1" applyBorder="1" applyAlignment="1">
      <alignment horizontal="center"/>
    </xf>
    <xf numFmtId="165" fontId="19" fillId="0" borderId="63" xfId="1" applyNumberFormat="1" applyFont="1" applyBorder="1" applyAlignment="1">
      <alignment horizontal="center"/>
    </xf>
    <xf numFmtId="164" fontId="19" fillId="11" borderId="58" xfId="1" applyFont="1" applyFill="1" applyBorder="1" applyProtection="1"/>
    <xf numFmtId="164" fontId="18" fillId="11" borderId="3" xfId="1" applyFill="1" applyBorder="1" applyAlignment="1" applyProtection="1">
      <alignment horizontal="center"/>
    </xf>
    <xf numFmtId="164" fontId="18" fillId="6" borderId="15" xfId="1" applyFill="1" applyBorder="1" applyAlignment="1">
      <alignment horizontal="center"/>
    </xf>
    <xf numFmtId="164" fontId="18" fillId="6" borderId="16" xfId="1" applyFill="1" applyBorder="1" applyAlignment="1" applyProtection="1">
      <alignment horizontal="center"/>
    </xf>
    <xf numFmtId="164" fontId="18" fillId="6" borderId="16" xfId="1" applyFill="1" applyBorder="1" applyAlignment="1">
      <alignment horizontal="center"/>
    </xf>
    <xf numFmtId="164" fontId="18" fillId="6" borderId="17" xfId="1" applyFill="1" applyBorder="1" applyAlignment="1">
      <alignment horizontal="center"/>
    </xf>
    <xf numFmtId="164" fontId="18" fillId="5" borderId="15" xfId="1" applyFill="1" applyBorder="1" applyAlignment="1">
      <alignment horizontal="center"/>
    </xf>
    <xf numFmtId="164" fontId="18" fillId="5" borderId="16" xfId="1" applyFill="1" applyBorder="1" applyAlignment="1">
      <alignment horizontal="center"/>
    </xf>
    <xf numFmtId="164" fontId="18" fillId="5" borderId="17" xfId="1" applyFill="1" applyBorder="1" applyAlignment="1">
      <alignment horizontal="center"/>
    </xf>
    <xf numFmtId="164" fontId="18" fillId="8" borderId="15" xfId="1" applyFill="1" applyBorder="1" applyAlignment="1">
      <alignment horizontal="center"/>
    </xf>
    <xf numFmtId="164" fontId="18" fillId="8" borderId="16" xfId="1" applyFill="1" applyBorder="1" applyAlignment="1">
      <alignment horizontal="center"/>
    </xf>
    <xf numFmtId="164" fontId="18" fillId="8" borderId="17" xfId="1" applyFill="1" applyBorder="1" applyAlignment="1">
      <alignment horizontal="center"/>
    </xf>
    <xf numFmtId="164" fontId="18" fillId="18" borderId="15" xfId="1" applyFill="1" applyBorder="1" applyAlignment="1">
      <alignment horizontal="center"/>
    </xf>
    <xf numFmtId="164" fontId="18" fillId="18" borderId="16" xfId="1" applyFill="1" applyBorder="1" applyAlignment="1">
      <alignment horizontal="center"/>
    </xf>
    <xf numFmtId="164" fontId="18" fillId="18" borderId="17" xfId="1" applyFill="1" applyBorder="1" applyAlignment="1">
      <alignment horizontal="center"/>
    </xf>
    <xf numFmtId="164" fontId="18" fillId="7" borderId="5" xfId="1" applyFill="1" applyBorder="1"/>
    <xf numFmtId="164" fontId="18" fillId="7" borderId="6" xfId="1" applyFill="1" applyBorder="1" applyAlignment="1">
      <alignment horizontal="center"/>
    </xf>
    <xf numFmtId="164" fontId="18" fillId="27" borderId="15" xfId="1" applyFill="1" applyBorder="1" applyAlignment="1">
      <alignment horizontal="center"/>
    </xf>
    <xf numFmtId="164" fontId="18" fillId="27" borderId="16" xfId="1" applyFill="1" applyBorder="1" applyAlignment="1">
      <alignment horizontal="center"/>
    </xf>
    <xf numFmtId="164" fontId="18" fillId="27" borderId="17" xfId="1" applyFill="1" applyBorder="1" applyAlignment="1">
      <alignment horizontal="center"/>
    </xf>
    <xf numFmtId="164" fontId="18" fillId="2" borderId="10" xfId="1" applyFill="1" applyBorder="1"/>
    <xf numFmtId="164" fontId="18" fillId="15" borderId="5" xfId="1" applyFill="1" applyBorder="1"/>
    <xf numFmtId="164" fontId="18" fillId="15" borderId="6" xfId="1" applyFill="1" applyBorder="1" applyAlignment="1">
      <alignment horizontal="center"/>
    </xf>
    <xf numFmtId="164" fontId="18" fillId="25" borderId="6" xfId="1" applyFill="1" applyBorder="1" applyAlignment="1">
      <alignment horizontal="center"/>
    </xf>
    <xf numFmtId="1" fontId="18" fillId="11" borderId="20" xfId="1" applyNumberFormat="1" applyFill="1" applyBorder="1" applyAlignment="1">
      <alignment horizontal="center"/>
    </xf>
    <xf numFmtId="1" fontId="18" fillId="11" borderId="0" xfId="1" applyNumberFormat="1" applyFill="1" applyBorder="1" applyAlignment="1">
      <alignment horizontal="center"/>
    </xf>
    <xf numFmtId="1" fontId="18" fillId="11" borderId="21" xfId="1" applyNumberFormat="1" applyFill="1" applyBorder="1" applyAlignment="1">
      <alignment horizontal="center"/>
    </xf>
    <xf numFmtId="1" fontId="18" fillId="11" borderId="23" xfId="1" applyNumberFormat="1" applyFill="1" applyBorder="1" applyAlignment="1">
      <alignment horizontal="center"/>
    </xf>
    <xf numFmtId="164" fontId="18" fillId="26" borderId="18" xfId="1" applyFill="1" applyBorder="1" applyAlignment="1">
      <alignment horizontal="center"/>
    </xf>
    <xf numFmtId="164" fontId="18" fillId="26" borderId="31" xfId="1" applyFill="1" applyBorder="1" applyAlignment="1">
      <alignment horizontal="center"/>
    </xf>
    <xf numFmtId="164" fontId="18" fillId="26" borderId="19" xfId="1" applyFill="1" applyBorder="1" applyAlignment="1">
      <alignment horizontal="center"/>
    </xf>
    <xf numFmtId="164" fontId="19" fillId="17" borderId="44" xfId="1" applyFont="1" applyFill="1" applyBorder="1"/>
    <xf numFmtId="165" fontId="18" fillId="17" borderId="72" xfId="1" applyNumberFormat="1" applyFill="1" applyBorder="1" applyAlignment="1">
      <alignment horizontal="center"/>
    </xf>
    <xf numFmtId="165" fontId="18" fillId="17" borderId="53" xfId="1" applyNumberFormat="1" applyFill="1" applyBorder="1" applyAlignment="1">
      <alignment horizontal="center"/>
    </xf>
    <xf numFmtId="164" fontId="19" fillId="32" borderId="44" xfId="1" applyFont="1" applyFill="1" applyBorder="1"/>
    <xf numFmtId="165" fontId="18" fillId="32" borderId="1" xfId="1" applyNumberFormat="1" applyFill="1" applyBorder="1" applyAlignment="1">
      <alignment horizontal="center"/>
    </xf>
    <xf numFmtId="165" fontId="18" fillId="32" borderId="11" xfId="1" applyNumberFormat="1" applyFill="1" applyBorder="1" applyAlignment="1">
      <alignment horizontal="center"/>
    </xf>
    <xf numFmtId="164" fontId="19" fillId="32" borderId="46" xfId="1" applyFont="1" applyFill="1" applyBorder="1"/>
    <xf numFmtId="165" fontId="18" fillId="32" borderId="3" xfId="1" applyNumberFormat="1" applyFill="1" applyBorder="1" applyAlignment="1">
      <alignment horizontal="center"/>
    </xf>
    <xf numFmtId="165" fontId="18" fillId="32" borderId="0" xfId="1" applyNumberFormat="1" applyFill="1" applyBorder="1" applyAlignment="1">
      <alignment horizontal="center"/>
    </xf>
    <xf numFmtId="165" fontId="18" fillId="32" borderId="37" xfId="1" applyNumberFormat="1" applyFill="1" applyBorder="1" applyAlignment="1">
      <alignment horizontal="center"/>
    </xf>
    <xf numFmtId="169" fontId="18" fillId="11" borderId="39" xfId="2" applyNumberFormat="1" applyFont="1" applyFill="1" applyBorder="1" applyAlignment="1">
      <alignment horizontal="center"/>
    </xf>
    <xf numFmtId="169" fontId="18" fillId="11" borderId="74" xfId="2" applyNumberFormat="1" applyFont="1" applyFill="1" applyBorder="1" applyAlignment="1">
      <alignment horizontal="center"/>
    </xf>
    <xf numFmtId="164" fontId="18" fillId="6" borderId="71" xfId="1" applyFill="1" applyBorder="1"/>
    <xf numFmtId="164" fontId="18" fillId="0" borderId="26" xfId="1" applyBorder="1" applyAlignment="1">
      <alignment horizontal="center"/>
    </xf>
    <xf numFmtId="164" fontId="18" fillId="0" borderId="68" xfId="1" applyBorder="1" applyAlignment="1">
      <alignment horizontal="center"/>
    </xf>
    <xf numFmtId="165" fontId="18" fillId="11" borderId="75" xfId="1" applyNumberFormat="1" applyFill="1" applyBorder="1" applyAlignment="1">
      <alignment horizontal="center"/>
    </xf>
    <xf numFmtId="164" fontId="18" fillId="3" borderId="76" xfId="1" applyFill="1" applyBorder="1"/>
    <xf numFmtId="164" fontId="18" fillId="21" borderId="25" xfId="1" applyFill="1" applyBorder="1" applyAlignment="1">
      <alignment horizontal="center"/>
    </xf>
    <xf numFmtId="164" fontId="18" fillId="21" borderId="25" xfId="1" applyFill="1" applyBorder="1" applyAlignment="1" applyProtection="1">
      <alignment horizontal="center"/>
    </xf>
    <xf numFmtId="165" fontId="19" fillId="0" borderId="21" xfId="1" applyNumberFormat="1" applyFont="1" applyBorder="1" applyAlignment="1">
      <alignment horizontal="center"/>
    </xf>
    <xf numFmtId="165" fontId="19" fillId="12" borderId="25" xfId="1" applyNumberFormat="1" applyFont="1" applyFill="1" applyBorder="1" applyAlignment="1">
      <alignment horizontal="center"/>
    </xf>
    <xf numFmtId="165" fontId="19" fillId="0" borderId="77" xfId="1" applyNumberFormat="1" applyFont="1" applyBorder="1" applyAlignment="1">
      <alignment horizontal="center"/>
    </xf>
    <xf numFmtId="164" fontId="19" fillId="9" borderId="52" xfId="1" applyFont="1" applyFill="1" applyBorder="1"/>
    <xf numFmtId="164" fontId="19" fillId="0" borderId="54" xfId="1" applyFont="1" applyBorder="1"/>
    <xf numFmtId="164" fontId="18" fillId="24" borderId="34" xfId="1" applyFill="1" applyBorder="1"/>
    <xf numFmtId="165" fontId="18" fillId="11" borderId="78" xfId="1" applyNumberFormat="1" applyFill="1" applyBorder="1" applyAlignment="1">
      <alignment horizontal="center"/>
    </xf>
    <xf numFmtId="165" fontId="18" fillId="11" borderId="79" xfId="1" applyNumberFormat="1" applyFill="1" applyBorder="1" applyAlignment="1">
      <alignment horizontal="center"/>
    </xf>
    <xf numFmtId="165" fontId="18" fillId="11" borderId="80" xfId="1" applyNumberFormat="1" applyFill="1" applyBorder="1" applyAlignment="1">
      <alignment horizontal="center"/>
    </xf>
    <xf numFmtId="164" fontId="19" fillId="16" borderId="44" xfId="1" applyFont="1" applyFill="1" applyBorder="1"/>
    <xf numFmtId="165" fontId="18" fillId="0" borderId="72" xfId="1" applyNumberFormat="1" applyBorder="1" applyAlignment="1">
      <alignment horizontal="center"/>
    </xf>
    <xf numFmtId="164" fontId="19" fillId="11" borderId="36" xfId="1" applyFont="1" applyFill="1" applyBorder="1"/>
    <xf numFmtId="165" fontId="18" fillId="16" borderId="53" xfId="1" applyNumberFormat="1" applyFill="1" applyBorder="1" applyAlignment="1">
      <alignment horizontal="center"/>
    </xf>
    <xf numFmtId="164" fontId="19" fillId="25" borderId="44" xfId="1" applyFont="1" applyFill="1" applyBorder="1"/>
    <xf numFmtId="165" fontId="18" fillId="25" borderId="1" xfId="1" applyNumberFormat="1" applyFill="1" applyBorder="1" applyAlignment="1">
      <alignment horizontal="center"/>
    </xf>
    <xf numFmtId="165" fontId="18" fillId="25" borderId="1" xfId="1" applyNumberFormat="1" applyFill="1" applyBorder="1" applyAlignment="1" applyProtection="1">
      <alignment horizontal="center"/>
    </xf>
    <xf numFmtId="165" fontId="18" fillId="25" borderId="11" xfId="1" applyNumberFormat="1" applyFill="1" applyBorder="1" applyAlignment="1">
      <alignment horizontal="center"/>
    </xf>
    <xf numFmtId="165" fontId="18" fillId="25" borderId="57" xfId="1" applyNumberFormat="1" applyFill="1" applyBorder="1" applyAlignment="1">
      <alignment horizontal="center"/>
    </xf>
    <xf numFmtId="165" fontId="18" fillId="11" borderId="41" xfId="1" applyNumberFormat="1" applyFill="1" applyBorder="1" applyAlignment="1">
      <alignment horizontal="center"/>
    </xf>
    <xf numFmtId="165" fontId="18" fillId="11" borderId="51" xfId="1" applyNumberFormat="1" applyFill="1" applyBorder="1" applyAlignment="1">
      <alignment horizontal="center"/>
    </xf>
    <xf numFmtId="165" fontId="18" fillId="11" borderId="42" xfId="1" applyNumberFormat="1" applyFill="1" applyBorder="1" applyAlignment="1">
      <alignment horizontal="center"/>
    </xf>
    <xf numFmtId="165" fontId="18" fillId="0" borderId="26" xfId="1" applyNumberFormat="1" applyBorder="1" applyAlignment="1" applyProtection="1">
      <alignment horizontal="center"/>
    </xf>
    <xf numFmtId="9" fontId="18" fillId="11" borderId="55" xfId="2" applyFont="1" applyFill="1" applyBorder="1" applyAlignment="1">
      <alignment horizontal="center"/>
    </xf>
    <xf numFmtId="169" fontId="18" fillId="11" borderId="42" xfId="2" applyNumberFormat="1" applyFont="1" applyFill="1" applyBorder="1" applyAlignment="1">
      <alignment horizontal="center"/>
    </xf>
    <xf numFmtId="164" fontId="19" fillId="28" borderId="54" xfId="1" applyFont="1" applyFill="1" applyBorder="1"/>
    <xf numFmtId="9" fontId="18" fillId="28" borderId="55" xfId="2" applyFont="1" applyFill="1" applyBorder="1" applyAlignment="1">
      <alignment horizontal="center"/>
    </xf>
    <xf numFmtId="165" fontId="18" fillId="9" borderId="81" xfId="1" applyNumberFormat="1" applyFill="1" applyBorder="1" applyAlignment="1">
      <alignment horizontal="center"/>
    </xf>
    <xf numFmtId="165" fontId="18" fillId="9" borderId="84" xfId="1" applyNumberFormat="1" applyFill="1" applyBorder="1" applyAlignment="1">
      <alignment horizontal="center"/>
    </xf>
    <xf numFmtId="165" fontId="18" fillId="9" borderId="83" xfId="1" applyNumberFormat="1" applyFill="1" applyBorder="1" applyAlignment="1">
      <alignment horizontal="center"/>
    </xf>
    <xf numFmtId="165" fontId="18" fillId="10" borderId="65" xfId="1" applyNumberFormat="1" applyFill="1" applyBorder="1" applyAlignment="1">
      <alignment horizontal="center"/>
    </xf>
    <xf numFmtId="165" fontId="18" fillId="10" borderId="81" xfId="1" applyNumberFormat="1" applyFill="1" applyBorder="1" applyAlignment="1">
      <alignment horizontal="center"/>
    </xf>
    <xf numFmtId="165" fontId="18" fillId="10" borderId="85" xfId="1" applyNumberFormat="1" applyFill="1" applyBorder="1" applyAlignment="1">
      <alignment horizontal="center"/>
    </xf>
    <xf numFmtId="165" fontId="18" fillId="10" borderId="83" xfId="1" applyNumberFormat="1" applyFill="1" applyBorder="1" applyAlignment="1">
      <alignment horizontal="center"/>
    </xf>
    <xf numFmtId="164" fontId="19" fillId="10" borderId="86" xfId="1" applyFont="1" applyFill="1" applyBorder="1"/>
    <xf numFmtId="165" fontId="18" fillId="10" borderId="69" xfId="1" applyNumberFormat="1" applyFill="1" applyBorder="1" applyAlignment="1">
      <alignment horizontal="center"/>
    </xf>
    <xf numFmtId="165" fontId="18" fillId="10" borderId="70" xfId="1" applyNumberFormat="1" applyFill="1" applyBorder="1" applyAlignment="1">
      <alignment horizontal="center"/>
    </xf>
    <xf numFmtId="165" fontId="18" fillId="10" borderId="87" xfId="1" applyNumberFormat="1" applyFill="1" applyBorder="1" applyAlignment="1">
      <alignment horizontal="center"/>
    </xf>
    <xf numFmtId="164" fontId="23" fillId="11" borderId="88" xfId="1" applyFont="1" applyFill="1" applyBorder="1" applyAlignment="1">
      <alignment horizontal="center"/>
    </xf>
    <xf numFmtId="165" fontId="18" fillId="3" borderId="89" xfId="1" applyNumberFormat="1" applyFill="1" applyBorder="1" applyAlignment="1">
      <alignment horizontal="center"/>
    </xf>
    <xf numFmtId="165" fontId="18" fillId="3" borderId="90" xfId="1" applyNumberFormat="1" applyFill="1" applyBorder="1" applyAlignment="1">
      <alignment horizontal="center"/>
    </xf>
    <xf numFmtId="164" fontId="18" fillId="21" borderId="20" xfId="1" applyFill="1" applyBorder="1" applyAlignment="1">
      <alignment horizontal="center"/>
    </xf>
    <xf numFmtId="165" fontId="18" fillId="5" borderId="27" xfId="1" applyNumberFormat="1" applyFill="1" applyBorder="1" applyAlignment="1">
      <alignment horizontal="center"/>
    </xf>
    <xf numFmtId="165" fontId="18" fillId="5" borderId="49" xfId="1" applyNumberFormat="1" applyFill="1" applyBorder="1" applyAlignment="1">
      <alignment horizontal="center"/>
    </xf>
    <xf numFmtId="165" fontId="18" fillId="5" borderId="28" xfId="1" applyNumberFormat="1" applyFill="1" applyBorder="1" applyAlignment="1">
      <alignment horizontal="center"/>
    </xf>
    <xf numFmtId="165" fontId="18" fillId="3" borderId="92" xfId="1" applyNumberFormat="1" applyFill="1" applyBorder="1" applyAlignment="1">
      <alignment horizontal="center"/>
    </xf>
    <xf numFmtId="164" fontId="18" fillId="5" borderId="34" xfId="1" applyFill="1" applyBorder="1"/>
    <xf numFmtId="164" fontId="18" fillId="11" borderId="65" xfId="1" applyFill="1" applyBorder="1" applyAlignment="1">
      <alignment horizontal="center"/>
    </xf>
    <xf numFmtId="165" fontId="18" fillId="11" borderId="69" xfId="1" applyNumberFormat="1" applyFill="1" applyBorder="1" applyAlignment="1">
      <alignment horizontal="center"/>
    </xf>
    <xf numFmtId="165" fontId="18" fillId="11" borderId="70" xfId="1" applyNumberFormat="1" applyFill="1" applyBorder="1" applyAlignment="1">
      <alignment horizontal="center"/>
    </xf>
    <xf numFmtId="164" fontId="18" fillId="2" borderId="34" xfId="1" applyFill="1" applyBorder="1"/>
    <xf numFmtId="164" fontId="18" fillId="11" borderId="78" xfId="1" applyFill="1" applyBorder="1" applyAlignment="1">
      <alignment horizontal="center"/>
    </xf>
    <xf numFmtId="164" fontId="18" fillId="11" borderId="93" xfId="1" applyFill="1" applyBorder="1" applyAlignment="1">
      <alignment horizontal="center"/>
    </xf>
    <xf numFmtId="164" fontId="18" fillId="11" borderId="94" xfId="1" applyFill="1" applyBorder="1" applyAlignment="1">
      <alignment horizontal="center"/>
    </xf>
    <xf numFmtId="164" fontId="18" fillId="8" borderId="94" xfId="1" applyFill="1" applyBorder="1" applyAlignment="1">
      <alignment horizontal="center"/>
    </xf>
    <xf numFmtId="165" fontId="18" fillId="11" borderId="94" xfId="1" applyNumberFormat="1" applyFill="1" applyBorder="1" applyAlignment="1">
      <alignment horizontal="center"/>
    </xf>
    <xf numFmtId="165" fontId="18" fillId="11" borderId="95" xfId="1" applyNumberFormat="1" applyFill="1" applyBorder="1" applyAlignment="1">
      <alignment horizontal="center"/>
    </xf>
    <xf numFmtId="165" fontId="18" fillId="2" borderId="27" xfId="1" applyNumberFormat="1" applyFill="1" applyBorder="1" applyAlignment="1">
      <alignment horizontal="center"/>
    </xf>
    <xf numFmtId="165" fontId="18" fillId="2" borderId="28" xfId="1" applyNumberFormat="1" applyFill="1" applyBorder="1" applyAlignment="1">
      <alignment horizontal="center"/>
    </xf>
    <xf numFmtId="165" fontId="18" fillId="2" borderId="96" xfId="1" applyNumberFormat="1" applyFill="1" applyBorder="1" applyAlignment="1">
      <alignment horizontal="center"/>
    </xf>
    <xf numFmtId="164" fontId="18" fillId="22" borderId="34" xfId="1" applyFill="1" applyBorder="1"/>
    <xf numFmtId="164" fontId="18" fillId="11" borderId="80" xfId="1" applyFill="1" applyBorder="1" applyAlignment="1">
      <alignment horizontal="center"/>
    </xf>
    <xf numFmtId="164" fontId="18" fillId="23" borderId="94" xfId="1" applyFill="1" applyBorder="1" applyAlignment="1">
      <alignment horizontal="center"/>
    </xf>
    <xf numFmtId="164" fontId="18" fillId="11" borderId="95" xfId="1" applyFill="1" applyBorder="1" applyAlignment="1">
      <alignment horizontal="center"/>
    </xf>
    <xf numFmtId="165" fontId="18" fillId="22" borderId="27" xfId="1" applyNumberFormat="1" applyFill="1" applyBorder="1" applyAlignment="1">
      <alignment horizontal="center"/>
    </xf>
    <xf numFmtId="165" fontId="18" fillId="22" borderId="28" xfId="1" applyNumberFormat="1" applyFill="1" applyBorder="1" applyAlignment="1">
      <alignment horizontal="center"/>
    </xf>
    <xf numFmtId="165" fontId="18" fillId="22" borderId="96" xfId="1" applyNumberFormat="1" applyFill="1" applyBorder="1" applyAlignment="1">
      <alignment horizontal="center"/>
    </xf>
    <xf numFmtId="165" fontId="19" fillId="12" borderId="20" xfId="1" applyNumberFormat="1" applyFont="1" applyFill="1" applyBorder="1" applyAlignment="1">
      <alignment horizontal="center"/>
    </xf>
    <xf numFmtId="165" fontId="19" fillId="12" borderId="18" xfId="1" applyNumberFormat="1" applyFont="1" applyFill="1" applyBorder="1" applyAlignment="1">
      <alignment horizontal="center"/>
    </xf>
    <xf numFmtId="165" fontId="19" fillId="12" borderId="22" xfId="1" applyNumberFormat="1" applyFont="1" applyFill="1" applyBorder="1" applyAlignment="1">
      <alignment horizontal="center"/>
    </xf>
    <xf numFmtId="165" fontId="19" fillId="11" borderId="89" xfId="1" applyNumberFormat="1" applyFont="1" applyFill="1" applyBorder="1" applyAlignment="1">
      <alignment horizontal="center"/>
    </xf>
    <xf numFmtId="165" fontId="19" fillId="11" borderId="90" xfId="1" applyNumberFormat="1" applyFont="1" applyFill="1" applyBorder="1" applyAlignment="1">
      <alignment horizontal="center"/>
    </xf>
    <xf numFmtId="165" fontId="19" fillId="12" borderId="90" xfId="1" applyNumberFormat="1" applyFont="1" applyFill="1" applyBorder="1" applyAlignment="1">
      <alignment horizontal="center"/>
    </xf>
    <xf numFmtId="165" fontId="18" fillId="11" borderId="8" xfId="1" applyNumberFormat="1" applyFill="1" applyBorder="1" applyAlignment="1">
      <alignment horizontal="center"/>
    </xf>
    <xf numFmtId="165" fontId="18" fillId="11" borderId="97" xfId="1" applyNumberFormat="1" applyFill="1" applyBorder="1" applyAlignment="1">
      <alignment horizontal="center"/>
    </xf>
    <xf numFmtId="165" fontId="18" fillId="24" borderId="27" xfId="1" applyNumberFormat="1" applyFill="1" applyBorder="1" applyAlignment="1">
      <alignment horizontal="center"/>
    </xf>
    <xf numFmtId="165" fontId="18" fillId="24" borderId="49" xfId="1" applyNumberFormat="1" applyFill="1" applyBorder="1" applyAlignment="1">
      <alignment horizontal="center"/>
    </xf>
    <xf numFmtId="165" fontId="18" fillId="24" borderId="28" xfId="1" applyNumberFormat="1" applyFill="1" applyBorder="1" applyAlignment="1">
      <alignment horizontal="center"/>
    </xf>
    <xf numFmtId="164" fontId="18" fillId="7" borderId="34" xfId="1" applyFill="1" applyBorder="1"/>
    <xf numFmtId="165" fontId="18" fillId="11" borderId="93" xfId="1" applyNumberFormat="1" applyFill="1" applyBorder="1" applyAlignment="1">
      <alignment horizontal="center"/>
    </xf>
    <xf numFmtId="164" fontId="18" fillId="7" borderId="94" xfId="1" applyFill="1" applyBorder="1" applyAlignment="1">
      <alignment horizontal="center"/>
    </xf>
    <xf numFmtId="164" fontId="18" fillId="30" borderId="94" xfId="1" applyFill="1" applyBorder="1" applyAlignment="1">
      <alignment horizontal="center"/>
    </xf>
    <xf numFmtId="165" fontId="18" fillId="7" borderId="27" xfId="1" applyNumberFormat="1" applyFill="1" applyBorder="1" applyAlignment="1">
      <alignment horizontal="center"/>
    </xf>
    <xf numFmtId="165" fontId="18" fillId="7" borderId="28" xfId="1" applyNumberFormat="1" applyFill="1" applyBorder="1" applyAlignment="1">
      <alignment horizontal="center"/>
    </xf>
    <xf numFmtId="164" fontId="18" fillId="7" borderId="28" xfId="1" applyFill="1" applyBorder="1" applyAlignment="1">
      <alignment horizontal="center"/>
    </xf>
    <xf numFmtId="164" fontId="18" fillId="31" borderId="94" xfId="1" applyFill="1" applyBorder="1" applyAlignment="1">
      <alignment horizontal="center"/>
    </xf>
    <xf numFmtId="165" fontId="18" fillId="12" borderId="8" xfId="1" applyNumberFormat="1" applyFill="1" applyBorder="1" applyAlignment="1">
      <alignment horizontal="center"/>
    </xf>
    <xf numFmtId="165" fontId="18" fillId="15" borderId="8" xfId="1" applyNumberFormat="1" applyFill="1" applyBorder="1" applyAlignment="1">
      <alignment horizontal="center"/>
    </xf>
    <xf numFmtId="165" fontId="18" fillId="15" borderId="94" xfId="1" applyNumberFormat="1" applyFill="1" applyBorder="1" applyAlignment="1">
      <alignment horizontal="center"/>
    </xf>
    <xf numFmtId="165" fontId="18" fillId="12" borderId="94" xfId="1" applyNumberFormat="1" applyFill="1" applyBorder="1" applyAlignment="1">
      <alignment horizontal="center"/>
    </xf>
    <xf numFmtId="165" fontId="18" fillId="15" borderId="89" xfId="1" applyNumberFormat="1" applyFill="1" applyBorder="1" applyAlignment="1">
      <alignment horizontal="center"/>
    </xf>
    <xf numFmtId="165" fontId="18" fillId="15" borderId="90" xfId="1" applyNumberFormat="1" applyFill="1" applyBorder="1" applyAlignment="1">
      <alignment horizontal="center"/>
    </xf>
    <xf numFmtId="165" fontId="18" fillId="11" borderId="72" xfId="1" applyNumberFormat="1" applyFill="1" applyBorder="1" applyAlignment="1">
      <alignment horizontal="center"/>
    </xf>
    <xf numFmtId="164" fontId="18" fillId="15" borderId="50" xfId="1" applyFill="1" applyBorder="1"/>
    <xf numFmtId="165" fontId="18" fillId="11" borderId="98" xfId="1" applyNumberFormat="1" applyFill="1" applyBorder="1" applyAlignment="1">
      <alignment horizontal="center"/>
    </xf>
    <xf numFmtId="164" fontId="18" fillId="15" borderId="52" xfId="1" applyFill="1" applyBorder="1"/>
    <xf numFmtId="164" fontId="18" fillId="15" borderId="56" xfId="1" applyFill="1" applyBorder="1"/>
    <xf numFmtId="165" fontId="18" fillId="15" borderId="92" xfId="1" applyNumberFormat="1" applyFill="1" applyBorder="1" applyAlignment="1">
      <alignment horizontal="center"/>
    </xf>
    <xf numFmtId="165" fontId="19" fillId="11" borderId="31" xfId="1" applyNumberFormat="1" applyFont="1" applyFill="1" applyBorder="1" applyAlignment="1">
      <alignment horizontal="center"/>
    </xf>
    <xf numFmtId="165" fontId="19" fillId="11" borderId="0" xfId="1" applyNumberFormat="1" applyFont="1" applyFill="1" applyBorder="1" applyAlignment="1">
      <alignment horizontal="center"/>
    </xf>
    <xf numFmtId="165" fontId="19" fillId="11" borderId="30" xfId="1" applyNumberFormat="1" applyFont="1" applyFill="1" applyBorder="1" applyAlignment="1">
      <alignment horizontal="center"/>
    </xf>
    <xf numFmtId="164" fontId="19" fillId="11" borderId="50" xfId="1" applyFont="1" applyFill="1" applyBorder="1"/>
    <xf numFmtId="165" fontId="19" fillId="11" borderId="62" xfId="1" applyNumberFormat="1" applyFont="1" applyFill="1" applyBorder="1" applyAlignment="1">
      <alignment horizontal="center"/>
    </xf>
    <xf numFmtId="164" fontId="19" fillId="11" borderId="52" xfId="1" applyFont="1" applyFill="1" applyBorder="1"/>
    <xf numFmtId="165" fontId="19" fillId="11" borderId="85" xfId="1" applyNumberFormat="1" applyFont="1" applyFill="1" applyBorder="1" applyAlignment="1">
      <alignment horizontal="center"/>
    </xf>
    <xf numFmtId="165" fontId="19" fillId="11" borderId="29" xfId="1" applyNumberFormat="1" applyFont="1" applyFill="1" applyBorder="1" applyAlignment="1">
      <alignment horizontal="center"/>
    </xf>
    <xf numFmtId="164" fontId="31" fillId="0" borderId="24" xfId="1" applyFont="1" applyBorder="1" applyAlignment="1" applyProtection="1">
      <alignment horizontal="center" vertical="center"/>
    </xf>
    <xf numFmtId="165" fontId="19" fillId="10" borderId="83" xfId="1" applyNumberFormat="1" applyFont="1" applyFill="1" applyBorder="1" applyAlignment="1">
      <alignment horizontal="center"/>
    </xf>
    <xf numFmtId="165" fontId="18" fillId="0" borderId="41" xfId="1" applyNumberFormat="1" applyBorder="1" applyAlignment="1" applyProtection="1">
      <alignment horizontal="center"/>
    </xf>
    <xf numFmtId="164" fontId="18" fillId="0" borderId="41" xfId="1" applyBorder="1" applyAlignment="1" applyProtection="1">
      <alignment horizontal="center"/>
    </xf>
    <xf numFmtId="165" fontId="18" fillId="0" borderId="42" xfId="1" applyNumberFormat="1" applyBorder="1" applyAlignment="1" applyProtection="1">
      <alignment horizontal="center"/>
    </xf>
    <xf numFmtId="165" fontId="18" fillId="10" borderId="89" xfId="1" applyNumberFormat="1" applyFill="1" applyBorder="1" applyAlignment="1">
      <alignment horizontal="center"/>
    </xf>
    <xf numFmtId="164" fontId="18" fillId="33" borderId="89" xfId="1" applyFill="1" applyBorder="1" applyProtection="1"/>
    <xf numFmtId="164" fontId="18" fillId="34" borderId="91" xfId="1" applyFill="1" applyBorder="1" applyProtection="1"/>
    <xf numFmtId="164" fontId="18" fillId="33" borderId="90" xfId="1" applyFill="1" applyBorder="1" applyProtection="1"/>
    <xf numFmtId="164" fontId="18" fillId="33" borderId="91" xfId="1" applyFill="1" applyBorder="1" applyProtection="1"/>
    <xf numFmtId="164" fontId="18" fillId="34" borderId="89" xfId="1" applyFill="1" applyBorder="1" applyProtection="1"/>
    <xf numFmtId="164" fontId="18" fillId="34" borderId="90" xfId="1" applyFill="1" applyBorder="1" applyProtection="1"/>
    <xf numFmtId="164" fontId="19" fillId="11" borderId="1" xfId="1" applyFont="1" applyFill="1" applyBorder="1" applyAlignment="1">
      <alignment horizontal="center"/>
    </xf>
    <xf numFmtId="164" fontId="18" fillId="33" borderId="64" xfId="1" applyFill="1" applyBorder="1"/>
    <xf numFmtId="164" fontId="18" fillId="33" borderId="99" xfId="1" applyFill="1" applyBorder="1"/>
    <xf numFmtId="164" fontId="18" fillId="33" borderId="66" xfId="1" applyFill="1" applyBorder="1" applyProtection="1"/>
    <xf numFmtId="164" fontId="18" fillId="33" borderId="101" xfId="1" applyFill="1" applyBorder="1" applyProtection="1"/>
    <xf numFmtId="164" fontId="18" fillId="34" borderId="66" xfId="1" applyFill="1" applyBorder="1" applyProtection="1"/>
    <xf numFmtId="164" fontId="18" fillId="34" borderId="101" xfId="1" applyFill="1" applyBorder="1" applyProtection="1"/>
    <xf numFmtId="164" fontId="18" fillId="34" borderId="64" xfId="1" applyFill="1" applyBorder="1" applyProtection="1"/>
    <xf numFmtId="164" fontId="18" fillId="33" borderId="64" xfId="1" applyFill="1" applyBorder="1" applyProtection="1"/>
    <xf numFmtId="164" fontId="18" fillId="11" borderId="67" xfId="1" applyFill="1" applyBorder="1" applyAlignment="1">
      <alignment horizontal="center"/>
    </xf>
    <xf numFmtId="164" fontId="18" fillId="11" borderId="103" xfId="1" applyFill="1" applyBorder="1" applyAlignment="1">
      <alignment horizontal="center"/>
    </xf>
    <xf numFmtId="166" fontId="18" fillId="11" borderId="100" xfId="1" applyNumberFormat="1" applyFill="1" applyBorder="1" applyAlignment="1">
      <alignment horizontal="center"/>
    </xf>
    <xf numFmtId="166" fontId="18" fillId="11" borderId="97" xfId="1" applyNumberFormat="1" applyFill="1" applyBorder="1" applyAlignment="1">
      <alignment horizontal="center"/>
    </xf>
    <xf numFmtId="164" fontId="18" fillId="11" borderId="104" xfId="1" applyFill="1" applyBorder="1" applyAlignment="1">
      <alignment horizontal="center"/>
    </xf>
    <xf numFmtId="164" fontId="18" fillId="33" borderId="50" xfId="1" applyFill="1" applyBorder="1"/>
    <xf numFmtId="164" fontId="18" fillId="33" borderId="52" xfId="1" applyFill="1" applyBorder="1"/>
    <xf numFmtId="164" fontId="18" fillId="33" borderId="54" xfId="1" applyFill="1" applyBorder="1"/>
    <xf numFmtId="164" fontId="18" fillId="34" borderId="50" xfId="1" applyFill="1" applyBorder="1"/>
    <xf numFmtId="164" fontId="18" fillId="34" borderId="52" xfId="1" applyFill="1" applyBorder="1"/>
    <xf numFmtId="164" fontId="18" fillId="34" borderId="54" xfId="1" applyFill="1" applyBorder="1"/>
    <xf numFmtId="165" fontId="18" fillId="33" borderId="108" xfId="1" applyNumberFormat="1" applyFill="1" applyBorder="1" applyAlignment="1">
      <alignment horizontal="center"/>
    </xf>
    <xf numFmtId="165" fontId="18" fillId="33" borderId="109" xfId="1" applyNumberFormat="1" applyFill="1" applyBorder="1" applyAlignment="1">
      <alignment horizontal="center"/>
    </xf>
    <xf numFmtId="165" fontId="18" fillId="33" borderId="110" xfId="1" applyNumberFormat="1" applyFill="1" applyBorder="1" applyAlignment="1">
      <alignment horizontal="center"/>
    </xf>
    <xf numFmtId="165" fontId="18" fillId="11" borderId="88" xfId="1" applyNumberFormat="1" applyFill="1" applyBorder="1" applyAlignment="1">
      <alignment horizontal="center"/>
    </xf>
    <xf numFmtId="165" fontId="18" fillId="33" borderId="103" xfId="1" applyNumberFormat="1" applyFill="1" applyBorder="1" applyAlignment="1">
      <alignment horizontal="center"/>
    </xf>
    <xf numFmtId="165" fontId="18" fillId="11" borderId="104" xfId="1" applyNumberFormat="1" applyFill="1" applyBorder="1" applyAlignment="1">
      <alignment horizontal="center"/>
    </xf>
    <xf numFmtId="165" fontId="18" fillId="34" borderId="108" xfId="1" applyNumberFormat="1" applyFill="1" applyBorder="1" applyAlignment="1">
      <alignment horizontal="center"/>
    </xf>
    <xf numFmtId="165" fontId="18" fillId="34" borderId="109" xfId="1" applyNumberFormat="1" applyFill="1" applyBorder="1" applyAlignment="1">
      <alignment horizontal="center"/>
    </xf>
    <xf numFmtId="165" fontId="18" fillId="34" borderId="110" xfId="1" applyNumberFormat="1" applyFill="1" applyBorder="1" applyAlignment="1">
      <alignment horizontal="center"/>
    </xf>
    <xf numFmtId="165" fontId="18" fillId="34" borderId="103" xfId="1" applyNumberFormat="1" applyFill="1" applyBorder="1" applyAlignment="1">
      <alignment horizontal="center"/>
    </xf>
    <xf numFmtId="165" fontId="18" fillId="11" borderId="61" xfId="1" applyNumberFormat="1" applyFill="1" applyBorder="1" applyAlignment="1">
      <alignment horizontal="center"/>
    </xf>
    <xf numFmtId="165" fontId="18" fillId="33" borderId="111" xfId="1" applyNumberFormat="1" applyFill="1" applyBorder="1" applyAlignment="1">
      <alignment horizontal="center"/>
    </xf>
    <xf numFmtId="165" fontId="18" fillId="11" borderId="86" xfId="1" applyNumberFormat="1" applyFill="1" applyBorder="1" applyAlignment="1">
      <alignment horizontal="center"/>
    </xf>
    <xf numFmtId="165" fontId="18" fillId="33" borderId="25" xfId="1" applyNumberFormat="1" applyFill="1" applyBorder="1" applyAlignment="1">
      <alignment horizontal="center"/>
    </xf>
    <xf numFmtId="165" fontId="18" fillId="34" borderId="111" xfId="1" applyNumberFormat="1" applyFill="1" applyBorder="1" applyAlignment="1">
      <alignment horizontal="center"/>
    </xf>
    <xf numFmtId="165" fontId="18" fillId="34" borderId="25" xfId="1" applyNumberFormat="1" applyFill="1" applyBorder="1" applyAlignment="1">
      <alignment horizontal="center"/>
    </xf>
    <xf numFmtId="165" fontId="18" fillId="11" borderId="106" xfId="1" applyNumberFormat="1" applyFill="1" applyBorder="1" applyAlignment="1">
      <alignment horizontal="center"/>
    </xf>
    <xf numFmtId="165" fontId="19" fillId="11" borderId="79" xfId="1" applyNumberFormat="1" applyFont="1" applyFill="1" applyBorder="1" applyAlignment="1">
      <alignment horizontal="center"/>
    </xf>
    <xf numFmtId="165" fontId="19" fillId="32" borderId="31" xfId="1" applyNumberFormat="1" applyFont="1" applyFill="1" applyBorder="1" applyAlignment="1">
      <alignment horizontal="center"/>
    </xf>
    <xf numFmtId="165" fontId="19" fillId="32" borderId="0" xfId="1" applyNumberFormat="1" applyFont="1" applyFill="1" applyBorder="1" applyAlignment="1">
      <alignment horizontal="center"/>
    </xf>
    <xf numFmtId="164" fontId="19" fillId="35" borderId="52" xfId="1" applyFont="1" applyFill="1" applyBorder="1"/>
    <xf numFmtId="164" fontId="19" fillId="11" borderId="56" xfId="1" applyFont="1" applyFill="1" applyBorder="1"/>
    <xf numFmtId="165" fontId="19" fillId="11" borderId="26" xfId="1" applyNumberFormat="1" applyFont="1" applyFill="1" applyBorder="1" applyAlignment="1">
      <alignment horizontal="center"/>
    </xf>
    <xf numFmtId="165" fontId="19" fillId="32" borderId="24" xfId="1" applyNumberFormat="1" applyFont="1" applyFill="1" applyBorder="1" applyAlignment="1">
      <alignment horizontal="center"/>
    </xf>
    <xf numFmtId="165" fontId="19" fillId="32" borderId="25" xfId="1" applyNumberFormat="1" applyFont="1" applyFill="1" applyBorder="1" applyAlignment="1">
      <alignment horizontal="center"/>
    </xf>
    <xf numFmtId="165" fontId="19" fillId="11" borderId="24" xfId="1" applyNumberFormat="1" applyFont="1" applyFill="1" applyBorder="1" applyAlignment="1">
      <alignment horizontal="center"/>
    </xf>
    <xf numFmtId="165" fontId="19" fillId="32" borderId="89" xfId="1" applyNumberFormat="1" applyFont="1" applyFill="1" applyBorder="1" applyAlignment="1">
      <alignment horizontal="center"/>
    </xf>
    <xf numFmtId="165" fontId="19" fillId="32" borderId="90" xfId="1" applyNumberFormat="1" applyFont="1" applyFill="1" applyBorder="1" applyAlignment="1">
      <alignment horizontal="center"/>
    </xf>
    <xf numFmtId="165" fontId="19" fillId="32" borderId="92" xfId="1" applyNumberFormat="1" applyFont="1" applyFill="1" applyBorder="1" applyAlignment="1">
      <alignment horizontal="center"/>
    </xf>
    <xf numFmtId="165" fontId="19" fillId="32" borderId="62" xfId="1" applyNumberFormat="1" applyFont="1" applyFill="1" applyBorder="1" applyAlignment="1">
      <alignment horizontal="center"/>
    </xf>
    <xf numFmtId="165" fontId="18" fillId="32" borderId="65" xfId="1" applyNumberFormat="1" applyFill="1" applyBorder="1" applyAlignment="1">
      <alignment horizontal="center"/>
    </xf>
    <xf numFmtId="165" fontId="18" fillId="32" borderId="20" xfId="1" applyNumberFormat="1" applyFill="1" applyBorder="1" applyAlignment="1">
      <alignment horizontal="center"/>
    </xf>
    <xf numFmtId="165" fontId="19" fillId="32" borderId="69" xfId="1" applyNumberFormat="1" applyFont="1" applyFill="1" applyBorder="1" applyAlignment="1">
      <alignment horizontal="center"/>
    </xf>
    <xf numFmtId="165" fontId="18" fillId="32" borderId="70" xfId="1" applyNumberFormat="1" applyFill="1" applyBorder="1" applyAlignment="1">
      <alignment horizontal="center"/>
    </xf>
    <xf numFmtId="165" fontId="19" fillId="32" borderId="91" xfId="1" applyNumberFormat="1" applyFont="1" applyFill="1" applyBorder="1" applyAlignment="1">
      <alignment horizontal="center"/>
    </xf>
    <xf numFmtId="165" fontId="19" fillId="32" borderId="96" xfId="1" applyNumberFormat="1" applyFont="1" applyFill="1" applyBorder="1" applyAlignment="1">
      <alignment horizontal="center"/>
    </xf>
    <xf numFmtId="165" fontId="18" fillId="11" borderId="18" xfId="1" applyNumberFormat="1" applyFill="1" applyBorder="1" applyAlignment="1">
      <alignment horizontal="center"/>
    </xf>
    <xf numFmtId="165" fontId="19" fillId="32" borderId="3" xfId="1" applyNumberFormat="1" applyFont="1" applyFill="1" applyBorder="1" applyAlignment="1">
      <alignment horizontal="center"/>
    </xf>
    <xf numFmtId="165" fontId="19" fillId="11" borderId="80" xfId="1" applyNumberFormat="1" applyFont="1" applyFill="1" applyBorder="1" applyAlignment="1">
      <alignment horizontal="center"/>
    </xf>
    <xf numFmtId="165" fontId="19" fillId="11" borderId="97" xfId="1" applyNumberFormat="1" applyFont="1" applyFill="1" applyBorder="1" applyAlignment="1">
      <alignment horizontal="center"/>
    </xf>
    <xf numFmtId="164" fontId="19" fillId="11" borderId="102" xfId="1" applyFont="1" applyFill="1" applyBorder="1"/>
    <xf numFmtId="165" fontId="19" fillId="11" borderId="78" xfId="1" applyNumberFormat="1" applyFont="1" applyFill="1" applyBorder="1" applyAlignment="1">
      <alignment horizontal="center"/>
    </xf>
    <xf numFmtId="164" fontId="19" fillId="11" borderId="38" xfId="1" applyFont="1" applyFill="1" applyBorder="1"/>
    <xf numFmtId="164" fontId="18" fillId="33" borderId="108" xfId="1" applyFill="1" applyBorder="1"/>
    <xf numFmtId="164" fontId="18" fillId="34" borderId="64" xfId="1" applyFill="1" applyBorder="1" applyAlignment="1">
      <alignment horizontal="center"/>
    </xf>
    <xf numFmtId="164" fontId="18" fillId="34" borderId="99" xfId="1" applyFill="1" applyBorder="1" applyAlignment="1">
      <alignment horizontal="center"/>
    </xf>
    <xf numFmtId="164" fontId="18" fillId="34" borderId="108" xfId="1" applyFill="1" applyBorder="1" applyAlignment="1">
      <alignment horizontal="center"/>
    </xf>
    <xf numFmtId="165" fontId="18" fillId="11" borderId="103" xfId="1" applyNumberFormat="1" applyFill="1" applyBorder="1" applyAlignment="1">
      <alignment horizontal="center"/>
    </xf>
    <xf numFmtId="165" fontId="18" fillId="0" borderId="50" xfId="1" applyNumberFormat="1" applyBorder="1" applyAlignment="1" applyProtection="1">
      <alignment horizontal="center"/>
    </xf>
    <xf numFmtId="165" fontId="18" fillId="0" borderId="52" xfId="1" applyNumberFormat="1" applyBorder="1" applyAlignment="1" applyProtection="1">
      <alignment horizontal="center"/>
    </xf>
    <xf numFmtId="165" fontId="18" fillId="10" borderId="90" xfId="1" applyNumberFormat="1" applyFill="1" applyBorder="1" applyAlignment="1">
      <alignment horizontal="center"/>
    </xf>
    <xf numFmtId="165" fontId="19" fillId="10" borderId="82" xfId="1" applyNumberFormat="1" applyFont="1" applyFill="1" applyBorder="1" applyAlignment="1">
      <alignment horizontal="center"/>
    </xf>
    <xf numFmtId="164" fontId="19" fillId="10" borderId="83" xfId="1" applyFont="1" applyFill="1" applyBorder="1"/>
    <xf numFmtId="164" fontId="18" fillId="5" borderId="100" xfId="1" applyFill="1" applyBorder="1"/>
    <xf numFmtId="165" fontId="18" fillId="5" borderId="87" xfId="1" applyNumberFormat="1" applyFill="1" applyBorder="1" applyAlignment="1">
      <alignment horizontal="center"/>
    </xf>
    <xf numFmtId="164" fontId="18" fillId="5" borderId="113" xfId="1" applyFill="1" applyBorder="1"/>
    <xf numFmtId="165" fontId="18" fillId="5" borderId="114" xfId="1" applyNumberFormat="1" applyFill="1" applyBorder="1" applyAlignment="1">
      <alignment horizontal="center"/>
    </xf>
    <xf numFmtId="165" fontId="18" fillId="2" borderId="114" xfId="1" applyNumberFormat="1" applyFill="1" applyBorder="1" applyAlignment="1">
      <alignment horizontal="center"/>
    </xf>
    <xf numFmtId="164" fontId="18" fillId="2" borderId="100" xfId="1" applyFill="1" applyBorder="1"/>
    <xf numFmtId="164" fontId="18" fillId="2" borderId="115" xfId="1" applyFill="1" applyBorder="1"/>
    <xf numFmtId="164" fontId="18" fillId="11" borderId="72" xfId="1" applyFill="1" applyBorder="1" applyAlignment="1">
      <alignment horizontal="center"/>
    </xf>
    <xf numFmtId="164" fontId="18" fillId="22" borderId="100" xfId="1" applyFill="1" applyBorder="1"/>
    <xf numFmtId="164" fontId="18" fillId="22" borderId="115" xfId="1" applyFill="1" applyBorder="1"/>
    <xf numFmtId="165" fontId="19" fillId="12" borderId="106" xfId="1" applyNumberFormat="1" applyFont="1" applyFill="1" applyBorder="1" applyAlignment="1">
      <alignment horizontal="center"/>
    </xf>
    <xf numFmtId="165" fontId="19" fillId="0" borderId="106" xfId="1" applyNumberFormat="1" applyFont="1" applyBorder="1" applyAlignment="1">
      <alignment horizontal="center"/>
    </xf>
    <xf numFmtId="165" fontId="19" fillId="11" borderId="87" xfId="1" applyNumberFormat="1" applyFont="1" applyFill="1" applyBorder="1" applyAlignment="1">
      <alignment horizontal="center"/>
    </xf>
    <xf numFmtId="164" fontId="19" fillId="0" borderId="86" xfId="1" applyFont="1" applyBorder="1"/>
    <xf numFmtId="164" fontId="18" fillId="24" borderId="100" xfId="1" applyFill="1" applyBorder="1"/>
    <xf numFmtId="164" fontId="18" fillId="24" borderId="115" xfId="1" applyFill="1" applyBorder="1"/>
    <xf numFmtId="165" fontId="18" fillId="24" borderId="87" xfId="1" applyNumberFormat="1" applyFill="1" applyBorder="1" applyAlignment="1">
      <alignment horizontal="center"/>
    </xf>
    <xf numFmtId="165" fontId="18" fillId="24" borderId="114" xfId="1" applyNumberFormat="1" applyFill="1" applyBorder="1" applyAlignment="1">
      <alignment horizontal="center"/>
    </xf>
    <xf numFmtId="164" fontId="18" fillId="7" borderId="100" xfId="1" applyFill="1" applyBorder="1"/>
    <xf numFmtId="164" fontId="18" fillId="7" borderId="115" xfId="1" applyFill="1" applyBorder="1"/>
    <xf numFmtId="165" fontId="18" fillId="7" borderId="87" xfId="1" applyNumberFormat="1" applyFill="1" applyBorder="1" applyAlignment="1">
      <alignment horizontal="center"/>
    </xf>
    <xf numFmtId="165" fontId="18" fillId="7" borderId="114" xfId="1" applyNumberFormat="1" applyFill="1" applyBorder="1" applyAlignment="1">
      <alignment horizontal="center"/>
    </xf>
    <xf numFmtId="165" fontId="19" fillId="11" borderId="103" xfId="1" applyNumberFormat="1" applyFont="1" applyFill="1" applyBorder="1" applyAlignment="1">
      <alignment horizontal="center"/>
    </xf>
    <xf numFmtId="165" fontId="19" fillId="32" borderId="103" xfId="1" applyNumberFormat="1" applyFont="1" applyFill="1" applyBorder="1" applyAlignment="1">
      <alignment horizontal="center"/>
    </xf>
    <xf numFmtId="165" fontId="19" fillId="32" borderId="77" xfId="1" applyNumberFormat="1" applyFont="1" applyFill="1" applyBorder="1" applyAlignment="1">
      <alignment horizontal="center"/>
    </xf>
    <xf numFmtId="165" fontId="19" fillId="32" borderId="21" xfId="1" applyNumberFormat="1" applyFont="1" applyFill="1" applyBorder="1" applyAlignment="1">
      <alignment horizontal="center"/>
    </xf>
    <xf numFmtId="165" fontId="19" fillId="11" borderId="19" xfId="1" applyNumberFormat="1" applyFont="1" applyFill="1" applyBorder="1" applyAlignment="1">
      <alignment horizontal="center"/>
    </xf>
    <xf numFmtId="165" fontId="19" fillId="11" borderId="21" xfId="1" applyNumberFormat="1" applyFont="1" applyFill="1" applyBorder="1" applyAlignment="1">
      <alignment horizontal="center"/>
    </xf>
    <xf numFmtId="165" fontId="19" fillId="32" borderId="116" xfId="1" applyNumberFormat="1" applyFont="1" applyFill="1" applyBorder="1" applyAlignment="1">
      <alignment horizontal="center"/>
    </xf>
    <xf numFmtId="164" fontId="19" fillId="32" borderId="89" xfId="1" applyFont="1" applyFill="1" applyBorder="1"/>
    <xf numFmtId="164" fontId="19" fillId="32" borderId="90" xfId="1" applyFont="1" applyFill="1" applyBorder="1"/>
    <xf numFmtId="164" fontId="19" fillId="11" borderId="90" xfId="1" applyFont="1" applyFill="1" applyBorder="1"/>
    <xf numFmtId="164" fontId="19" fillId="32" borderId="91" xfId="1" applyFont="1" applyFill="1" applyBorder="1"/>
    <xf numFmtId="164" fontId="18" fillId="13" borderId="64" xfId="1" applyFill="1" applyBorder="1" applyProtection="1"/>
    <xf numFmtId="164" fontId="18" fillId="13" borderId="66" xfId="1" applyFill="1" applyBorder="1" applyProtection="1"/>
    <xf numFmtId="164" fontId="18" fillId="13" borderId="101" xfId="1" applyFill="1" applyBorder="1" applyProtection="1"/>
    <xf numFmtId="165" fontId="18" fillId="13" borderId="111" xfId="1" applyNumberFormat="1" applyFill="1" applyBorder="1" applyAlignment="1">
      <alignment horizontal="center"/>
    </xf>
    <xf numFmtId="165" fontId="18" fillId="13" borderId="25" xfId="1" applyNumberFormat="1" applyFill="1" applyBorder="1" applyAlignment="1">
      <alignment horizontal="center"/>
    </xf>
    <xf numFmtId="165" fontId="18" fillId="13" borderId="103" xfId="1" applyNumberFormat="1" applyFill="1" applyBorder="1" applyAlignment="1">
      <alignment horizontal="center"/>
    </xf>
    <xf numFmtId="165" fontId="18" fillId="13" borderId="109" xfId="1" applyNumberFormat="1" applyFill="1" applyBorder="1" applyAlignment="1">
      <alignment horizontal="center"/>
    </xf>
    <xf numFmtId="165" fontId="18" fillId="13" borderId="108" xfId="1" applyNumberFormat="1" applyFill="1" applyBorder="1" applyAlignment="1">
      <alignment horizontal="center"/>
    </xf>
    <xf numFmtId="165" fontId="18" fillId="13" borderId="110" xfId="1" applyNumberFormat="1" applyFill="1" applyBorder="1" applyAlignment="1">
      <alignment horizontal="center"/>
    </xf>
    <xf numFmtId="164" fontId="18" fillId="13" borderId="89" xfId="1" applyFill="1" applyBorder="1" applyProtection="1"/>
    <xf numFmtId="164" fontId="18" fillId="13" borderId="90" xfId="1" applyFill="1" applyBorder="1" applyProtection="1"/>
    <xf numFmtId="164" fontId="18" fillId="13" borderId="91" xfId="1" applyFill="1" applyBorder="1" applyProtection="1"/>
    <xf numFmtId="164" fontId="18" fillId="13" borderId="64" xfId="1" applyFill="1" applyBorder="1" applyAlignment="1">
      <alignment horizontal="center"/>
    </xf>
    <xf numFmtId="164" fontId="18" fillId="13" borderId="99" xfId="1" applyFill="1" applyBorder="1" applyAlignment="1">
      <alignment horizontal="center"/>
    </xf>
    <xf numFmtId="164" fontId="18" fillId="13" borderId="108" xfId="1" applyFill="1" applyBorder="1" applyAlignment="1">
      <alignment horizontal="center"/>
    </xf>
    <xf numFmtId="164" fontId="18" fillId="13" borderId="50" xfId="1" applyFill="1" applyBorder="1"/>
    <xf numFmtId="164" fontId="18" fillId="13" borderId="52" xfId="1" applyFill="1" applyBorder="1"/>
    <xf numFmtId="164" fontId="18" fillId="13" borderId="54" xfId="1" applyFill="1" applyBorder="1"/>
    <xf numFmtId="164" fontId="18" fillId="8" borderId="66" xfId="1" applyFill="1" applyBorder="1"/>
    <xf numFmtId="164" fontId="18" fillId="0" borderId="117" xfId="1" applyBorder="1" applyAlignment="1" applyProtection="1">
      <alignment horizontal="center"/>
    </xf>
    <xf numFmtId="164" fontId="18" fillId="0" borderId="15" xfId="1" applyBorder="1" applyAlignment="1" applyProtection="1">
      <alignment horizontal="center"/>
    </xf>
    <xf numFmtId="164" fontId="18" fillId="32" borderId="64" xfId="1" applyFill="1" applyBorder="1" applyProtection="1"/>
    <xf numFmtId="164" fontId="18" fillId="32" borderId="66" xfId="1" applyFill="1" applyBorder="1" applyProtection="1"/>
    <xf numFmtId="164" fontId="18" fillId="32" borderId="101" xfId="1" applyFill="1" applyBorder="1" applyProtection="1"/>
    <xf numFmtId="165" fontId="18" fillId="32" borderId="111" xfId="1" applyNumberFormat="1" applyFill="1" applyBorder="1" applyAlignment="1">
      <alignment horizontal="center"/>
    </xf>
    <xf numFmtId="165" fontId="18" fillId="32" borderId="25" xfId="1" applyNumberFormat="1" applyFill="1" applyBorder="1" applyAlignment="1">
      <alignment horizontal="center"/>
    </xf>
    <xf numFmtId="165" fontId="18" fillId="32" borderId="103" xfId="1" applyNumberFormat="1" applyFill="1" applyBorder="1" applyAlignment="1">
      <alignment horizontal="center"/>
    </xf>
    <xf numFmtId="165" fontId="18" fillId="32" borderId="108" xfId="1" applyNumberFormat="1" applyFill="1" applyBorder="1" applyAlignment="1">
      <alignment horizontal="center"/>
    </xf>
    <xf numFmtId="165" fontId="18" fillId="32" borderId="109" xfId="1" applyNumberFormat="1" applyFill="1" applyBorder="1" applyAlignment="1">
      <alignment horizontal="center"/>
    </xf>
    <xf numFmtId="165" fontId="18" fillId="32" borderId="110" xfId="1" applyNumberFormat="1" applyFill="1" applyBorder="1" applyAlignment="1">
      <alignment horizontal="center"/>
    </xf>
    <xf numFmtId="164" fontId="18" fillId="32" borderId="89" xfId="1" applyFill="1" applyBorder="1" applyProtection="1"/>
    <xf numFmtId="164" fontId="18" fillId="32" borderId="90" xfId="1" applyFill="1" applyBorder="1" applyProtection="1"/>
    <xf numFmtId="164" fontId="18" fillId="32" borderId="91" xfId="1" applyFill="1" applyBorder="1" applyProtection="1"/>
    <xf numFmtId="164" fontId="18" fillId="32" borderId="64" xfId="1" applyFill="1" applyBorder="1" applyAlignment="1">
      <alignment horizontal="center"/>
    </xf>
    <xf numFmtId="164" fontId="18" fillId="32" borderId="99" xfId="1" applyFill="1" applyBorder="1" applyAlignment="1">
      <alignment horizontal="center"/>
    </xf>
    <xf numFmtId="164" fontId="18" fillId="32" borderId="108" xfId="1" applyFill="1" applyBorder="1" applyAlignment="1">
      <alignment horizontal="center"/>
    </xf>
    <xf numFmtId="164" fontId="18" fillId="32" borderId="50" xfId="1" applyFill="1" applyBorder="1"/>
    <xf numFmtId="164" fontId="18" fillId="32" borderId="52" xfId="1" applyFill="1" applyBorder="1"/>
    <xf numFmtId="164" fontId="18" fillId="32" borderId="54" xfId="1" applyFill="1" applyBorder="1"/>
    <xf numFmtId="164" fontId="32" fillId="33" borderId="106" xfId="1" applyFont="1" applyFill="1" applyBorder="1" applyAlignment="1">
      <alignment horizontal="center"/>
    </xf>
    <xf numFmtId="164" fontId="33" fillId="33" borderId="105" xfId="1" applyFont="1" applyFill="1" applyBorder="1" applyAlignment="1">
      <alignment horizontal="center" vertical="center"/>
    </xf>
    <xf numFmtId="164" fontId="33" fillId="34" borderId="105" xfId="1" applyFont="1" applyFill="1" applyBorder="1" applyAlignment="1">
      <alignment horizontal="center"/>
    </xf>
    <xf numFmtId="164" fontId="33" fillId="13" borderId="105" xfId="1" applyFont="1" applyFill="1" applyBorder="1" applyAlignment="1">
      <alignment horizontal="center"/>
    </xf>
    <xf numFmtId="164" fontId="33" fillId="32" borderId="105" xfId="1" applyFont="1" applyFill="1" applyBorder="1" applyAlignment="1">
      <alignment horizontal="center"/>
    </xf>
    <xf numFmtId="164" fontId="32" fillId="34" borderId="106" xfId="1" applyFont="1" applyFill="1" applyBorder="1" applyAlignment="1">
      <alignment horizontal="center"/>
    </xf>
    <xf numFmtId="164" fontId="32" fillId="13" borderId="106" xfId="1" applyFont="1" applyFill="1" applyBorder="1" applyAlignment="1">
      <alignment horizontal="center"/>
    </xf>
    <xf numFmtId="164" fontId="32" fillId="32" borderId="106" xfId="1" applyFont="1" applyFill="1" applyBorder="1" applyAlignment="1">
      <alignment horizontal="center"/>
    </xf>
    <xf numFmtId="164" fontId="19" fillId="33" borderId="106" xfId="1" applyFont="1" applyFill="1" applyBorder="1"/>
    <xf numFmtId="164" fontId="19" fillId="33" borderId="107" xfId="1" applyFont="1" applyFill="1" applyBorder="1"/>
    <xf numFmtId="164" fontId="19" fillId="34" borderId="106" xfId="1" applyFont="1" applyFill="1" applyBorder="1"/>
    <xf numFmtId="164" fontId="19" fillId="34" borderId="107" xfId="1" applyFont="1" applyFill="1" applyBorder="1"/>
    <xf numFmtId="164" fontId="19" fillId="13" borderId="106" xfId="1" applyFont="1" applyFill="1" applyBorder="1"/>
    <xf numFmtId="164" fontId="19" fillId="13" borderId="107" xfId="1" applyFont="1" applyFill="1" applyBorder="1"/>
    <xf numFmtId="164" fontId="19" fillId="32" borderId="106" xfId="1" applyFont="1" applyFill="1" applyBorder="1"/>
    <xf numFmtId="164" fontId="19" fillId="32" borderId="107" xfId="1" applyFont="1" applyFill="1" applyBorder="1"/>
    <xf numFmtId="164" fontId="33" fillId="3" borderId="3" xfId="1" applyFont="1" applyFill="1" applyBorder="1" applyAlignment="1">
      <alignment horizontal="center"/>
    </xf>
    <xf numFmtId="164" fontId="32" fillId="3" borderId="3" xfId="1" applyFont="1" applyFill="1" applyBorder="1" applyAlignment="1">
      <alignment horizontal="center"/>
    </xf>
    <xf numFmtId="164" fontId="33" fillId="5" borderId="3" xfId="1" applyFont="1" applyFill="1" applyBorder="1" applyAlignment="1">
      <alignment horizontal="center"/>
    </xf>
    <xf numFmtId="164" fontId="33" fillId="2" borderId="3" xfId="1" applyFont="1" applyFill="1" applyBorder="1" applyAlignment="1">
      <alignment horizontal="center"/>
    </xf>
    <xf numFmtId="164" fontId="33" fillId="19" borderId="3" xfId="1" applyFont="1" applyFill="1" applyBorder="1" applyAlignment="1">
      <alignment horizontal="center"/>
    </xf>
    <xf numFmtId="164" fontId="33" fillId="7" borderId="3" xfId="1" applyFont="1" applyFill="1" applyBorder="1" applyAlignment="1">
      <alignment horizontal="center"/>
    </xf>
    <xf numFmtId="164" fontId="32" fillId="5" borderId="3" xfId="1" applyFont="1" applyFill="1" applyBorder="1" applyAlignment="1">
      <alignment horizontal="center"/>
    </xf>
    <xf numFmtId="164" fontId="32" fillId="2" borderId="3" xfId="1" applyFont="1" applyFill="1" applyBorder="1" applyAlignment="1">
      <alignment horizontal="center"/>
    </xf>
    <xf numFmtId="164" fontId="32" fillId="19" borderId="3" xfId="1" applyFont="1" applyFill="1" applyBorder="1" applyAlignment="1">
      <alignment horizontal="center"/>
    </xf>
    <xf numFmtId="164" fontId="32" fillId="7" borderId="3" xfId="1" applyFont="1" applyFill="1" applyBorder="1" applyAlignment="1">
      <alignment horizontal="center"/>
    </xf>
    <xf numFmtId="164" fontId="32" fillId="15" borderId="3" xfId="1" applyFont="1" applyFill="1" applyBorder="1" applyAlignment="1">
      <alignment horizontal="center"/>
    </xf>
    <xf numFmtId="9" fontId="19" fillId="11" borderId="59" xfId="2" applyFont="1" applyFill="1" applyBorder="1" applyAlignment="1" applyProtection="1">
      <alignment horizontal="center"/>
    </xf>
    <xf numFmtId="9" fontId="19" fillId="11" borderId="60" xfId="2" applyFont="1" applyFill="1" applyBorder="1" applyAlignment="1" applyProtection="1">
      <alignment horizontal="center"/>
    </xf>
    <xf numFmtId="165" fontId="19" fillId="11" borderId="119" xfId="1" applyNumberFormat="1" applyFont="1" applyFill="1" applyBorder="1" applyAlignment="1">
      <alignment horizontal="center"/>
    </xf>
    <xf numFmtId="164" fontId="18" fillId="37" borderId="52" xfId="1" applyFill="1" applyBorder="1"/>
    <xf numFmtId="164" fontId="18" fillId="37" borderId="111" xfId="1" applyFill="1" applyBorder="1"/>
    <xf numFmtId="164" fontId="18" fillId="16" borderId="52" xfId="1" applyFill="1" applyBorder="1"/>
    <xf numFmtId="164" fontId="18" fillId="16" borderId="111" xfId="1" applyFill="1" applyBorder="1"/>
    <xf numFmtId="164" fontId="18" fillId="3" borderId="120" xfId="1" applyFill="1" applyBorder="1"/>
    <xf numFmtId="165" fontId="18" fillId="3" borderId="121" xfId="1" applyNumberFormat="1" applyFill="1" applyBorder="1" applyAlignment="1">
      <alignment horizontal="center"/>
    </xf>
    <xf numFmtId="164" fontId="18" fillId="3" borderId="32" xfId="1" applyFill="1" applyBorder="1"/>
    <xf numFmtId="165" fontId="18" fillId="11" borderId="59" xfId="1" applyNumberFormat="1" applyFill="1" applyBorder="1" applyAlignment="1">
      <alignment horizontal="center"/>
    </xf>
    <xf numFmtId="165" fontId="18" fillId="11" borderId="81" xfId="1" applyNumberFormat="1" applyFill="1" applyBorder="1" applyAlignment="1">
      <alignment horizontal="center"/>
    </xf>
    <xf numFmtId="165" fontId="18" fillId="3" borderId="83" xfId="1" applyNumberFormat="1" applyFill="1" applyBorder="1" applyAlignment="1">
      <alignment horizontal="center"/>
    </xf>
    <xf numFmtId="165" fontId="18" fillId="5" borderId="96" xfId="1" applyNumberFormat="1" applyFill="1" applyBorder="1" applyAlignment="1">
      <alignment horizontal="center"/>
    </xf>
    <xf numFmtId="164" fontId="18" fillId="5" borderId="67" xfId="1" applyFill="1" applyBorder="1"/>
    <xf numFmtId="164" fontId="18" fillId="5" borderId="32" xfId="1" applyFill="1" applyBorder="1"/>
    <xf numFmtId="165" fontId="18" fillId="5" borderId="83" xfId="1" applyNumberFormat="1" applyFill="1" applyBorder="1" applyAlignment="1">
      <alignment horizontal="center"/>
    </xf>
    <xf numFmtId="164" fontId="18" fillId="2" borderId="67" xfId="1" applyFill="1" applyBorder="1"/>
    <xf numFmtId="165" fontId="18" fillId="2" borderId="49" xfId="1" applyNumberFormat="1" applyFill="1" applyBorder="1" applyAlignment="1">
      <alignment horizontal="center"/>
    </xf>
    <xf numFmtId="164" fontId="18" fillId="2" borderId="32" xfId="1" applyFill="1" applyBorder="1"/>
    <xf numFmtId="165" fontId="18" fillId="11" borderId="33" xfId="1" applyNumberFormat="1" applyFill="1" applyBorder="1" applyAlignment="1">
      <alignment horizontal="center"/>
    </xf>
    <xf numFmtId="165" fontId="18" fillId="11" borderId="84" xfId="1" applyNumberFormat="1" applyFill="1" applyBorder="1" applyAlignment="1">
      <alignment horizontal="center"/>
    </xf>
    <xf numFmtId="165" fontId="18" fillId="2" borderId="83" xfId="1" applyNumberFormat="1" applyFill="1" applyBorder="1" applyAlignment="1">
      <alignment horizontal="center"/>
    </xf>
    <xf numFmtId="164" fontId="18" fillId="22" borderId="67" xfId="1" applyFill="1" applyBorder="1"/>
    <xf numFmtId="165" fontId="18" fillId="22" borderId="112" xfId="1" applyNumberFormat="1" applyFill="1" applyBorder="1" applyAlignment="1">
      <alignment horizontal="center"/>
    </xf>
    <xf numFmtId="164" fontId="18" fillId="22" borderId="32" xfId="1" applyFill="1" applyBorder="1"/>
    <xf numFmtId="164" fontId="18" fillId="11" borderId="33" xfId="1" applyFill="1" applyBorder="1" applyAlignment="1" applyProtection="1">
      <alignment horizontal="center"/>
    </xf>
    <xf numFmtId="164" fontId="18" fillId="11" borderId="33" xfId="1" applyFill="1" applyBorder="1" applyAlignment="1">
      <alignment horizontal="center"/>
    </xf>
    <xf numFmtId="164" fontId="18" fillId="11" borderId="84" xfId="1" applyFill="1" applyBorder="1" applyAlignment="1">
      <alignment horizontal="center"/>
    </xf>
    <xf numFmtId="165" fontId="18" fillId="22" borderId="83" xfId="1" applyNumberFormat="1" applyFill="1" applyBorder="1" applyAlignment="1">
      <alignment horizontal="center"/>
    </xf>
    <xf numFmtId="164" fontId="18" fillId="38" borderId="34" xfId="1" applyFill="1" applyBorder="1"/>
    <xf numFmtId="164" fontId="18" fillId="38" borderId="36" xfId="1" applyFill="1" applyBorder="1"/>
    <xf numFmtId="164" fontId="18" fillId="38" borderId="44" xfId="1" applyFill="1" applyBorder="1"/>
    <xf numFmtId="164" fontId="18" fillId="38" borderId="32" xfId="1" applyFill="1" applyBorder="1"/>
    <xf numFmtId="164" fontId="18" fillId="38" borderId="67" xfId="1" applyFill="1" applyBorder="1"/>
    <xf numFmtId="164" fontId="18" fillId="38" borderId="115" xfId="1" applyFill="1" applyBorder="1"/>
    <xf numFmtId="164" fontId="18" fillId="38" borderId="100" xfId="1" applyFill="1" applyBorder="1"/>
    <xf numFmtId="164" fontId="18" fillId="39" borderId="3" xfId="1" applyFill="1" applyBorder="1" applyAlignment="1">
      <alignment horizontal="center"/>
    </xf>
    <xf numFmtId="164" fontId="18" fillId="39" borderId="3" xfId="1" applyFill="1" applyBorder="1" applyAlignment="1" applyProtection="1">
      <alignment horizontal="center"/>
    </xf>
    <xf numFmtId="164" fontId="18" fillId="39" borderId="94" xfId="1" applyFill="1" applyBorder="1" applyAlignment="1">
      <alignment horizontal="center"/>
    </xf>
    <xf numFmtId="165" fontId="18" fillId="38" borderId="28" xfId="1" applyNumberFormat="1" applyFill="1" applyBorder="1" applyAlignment="1">
      <alignment horizontal="center"/>
    </xf>
    <xf numFmtId="165" fontId="18" fillId="38" borderId="96" xfId="1" applyNumberFormat="1" applyFill="1" applyBorder="1" applyAlignment="1">
      <alignment horizontal="center"/>
    </xf>
    <xf numFmtId="165" fontId="18" fillId="38" borderId="27" xfId="1" applyNumberFormat="1" applyFill="1" applyBorder="1" applyAlignment="1">
      <alignment horizontal="center"/>
    </xf>
    <xf numFmtId="165" fontId="18" fillId="38" borderId="83" xfId="1" applyNumberFormat="1" applyFill="1" applyBorder="1" applyAlignment="1">
      <alignment horizontal="center"/>
    </xf>
    <xf numFmtId="165" fontId="18" fillId="38" borderId="112" xfId="1" applyNumberFormat="1" applyFill="1" applyBorder="1" applyAlignment="1">
      <alignment horizontal="center"/>
    </xf>
    <xf numFmtId="164" fontId="18" fillId="40" borderId="34" xfId="1" applyFill="1" applyBorder="1"/>
    <xf numFmtId="164" fontId="18" fillId="40" borderId="36" xfId="1" applyFill="1" applyBorder="1"/>
    <xf numFmtId="164" fontId="18" fillId="40" borderId="44" xfId="1" applyFill="1" applyBorder="1"/>
    <xf numFmtId="164" fontId="18" fillId="40" borderId="32" xfId="1" applyFill="1" applyBorder="1"/>
    <xf numFmtId="164" fontId="18" fillId="40" borderId="67" xfId="1" applyFill="1" applyBorder="1"/>
    <xf numFmtId="164" fontId="18" fillId="40" borderId="115" xfId="1" applyFill="1" applyBorder="1"/>
    <xf numFmtId="164" fontId="18" fillId="40" borderId="100" xfId="1" applyFill="1" applyBorder="1"/>
    <xf numFmtId="164" fontId="18" fillId="41" borderId="3" xfId="1" applyFill="1" applyBorder="1" applyAlignment="1">
      <alignment horizontal="center"/>
    </xf>
    <xf numFmtId="164" fontId="18" fillId="41" borderId="3" xfId="1" applyFill="1" applyBorder="1" applyAlignment="1" applyProtection="1">
      <alignment horizontal="center"/>
    </xf>
    <xf numFmtId="164" fontId="18" fillId="41" borderId="94" xfId="1" applyFill="1" applyBorder="1" applyAlignment="1">
      <alignment horizontal="center"/>
    </xf>
    <xf numFmtId="165" fontId="18" fillId="40" borderId="28" xfId="1" applyNumberFormat="1" applyFill="1" applyBorder="1" applyAlignment="1">
      <alignment horizontal="center"/>
    </xf>
    <xf numFmtId="165" fontId="18" fillId="40" borderId="96" xfId="1" applyNumberFormat="1" applyFill="1" applyBorder="1" applyAlignment="1">
      <alignment horizontal="center"/>
    </xf>
    <xf numFmtId="165" fontId="18" fillId="40" borderId="27" xfId="1" applyNumberFormat="1" applyFill="1" applyBorder="1" applyAlignment="1">
      <alignment horizontal="center"/>
    </xf>
    <xf numFmtId="165" fontId="18" fillId="40" borderId="83" xfId="1" applyNumberFormat="1" applyFill="1" applyBorder="1" applyAlignment="1">
      <alignment horizontal="center"/>
    </xf>
    <xf numFmtId="165" fontId="18" fillId="40" borderId="112" xfId="1" applyNumberFormat="1" applyFill="1" applyBorder="1" applyAlignment="1">
      <alignment horizontal="center"/>
    </xf>
    <xf numFmtId="164" fontId="18" fillId="24" borderId="44" xfId="1" applyFill="1" applyBorder="1"/>
    <xf numFmtId="165" fontId="18" fillId="24" borderId="96" xfId="1" applyNumberFormat="1" applyFill="1" applyBorder="1" applyAlignment="1">
      <alignment horizontal="center"/>
    </xf>
    <xf numFmtId="164" fontId="18" fillId="24" borderId="32" xfId="1" applyFill="1" applyBorder="1"/>
    <xf numFmtId="165" fontId="18" fillId="29" borderId="33" xfId="1" applyNumberFormat="1" applyFill="1" applyBorder="1" applyAlignment="1">
      <alignment horizontal="center"/>
    </xf>
    <xf numFmtId="164" fontId="18" fillId="29" borderId="73" xfId="1" applyFill="1" applyBorder="1" applyAlignment="1">
      <alignment horizontal="center"/>
    </xf>
    <xf numFmtId="165" fontId="18" fillId="24" borderId="83" xfId="1" applyNumberFormat="1" applyFill="1" applyBorder="1" applyAlignment="1">
      <alignment horizontal="center"/>
    </xf>
    <xf numFmtId="164" fontId="18" fillId="7" borderId="96" xfId="1" applyFill="1" applyBorder="1" applyAlignment="1">
      <alignment horizontal="center"/>
    </xf>
    <xf numFmtId="164" fontId="18" fillId="7" borderId="67" xfId="1" applyFill="1" applyBorder="1"/>
    <xf numFmtId="164" fontId="18" fillId="7" borderId="49" xfId="1" applyFill="1" applyBorder="1" applyAlignment="1">
      <alignment horizontal="center"/>
    </xf>
    <xf numFmtId="164" fontId="18" fillId="7" borderId="32" xfId="1" applyFill="1" applyBorder="1"/>
    <xf numFmtId="164" fontId="18" fillId="30" borderId="33" xfId="1" applyFill="1" applyBorder="1" applyAlignment="1">
      <alignment horizontal="center"/>
    </xf>
    <xf numFmtId="164" fontId="18" fillId="30" borderId="84" xfId="1" applyFill="1" applyBorder="1" applyAlignment="1">
      <alignment horizontal="center"/>
    </xf>
    <xf numFmtId="164" fontId="18" fillId="7" borderId="83" xfId="1" applyFill="1" applyBorder="1" applyAlignment="1">
      <alignment horizontal="center"/>
    </xf>
    <xf numFmtId="164" fontId="18" fillId="31" borderId="33" xfId="1" applyFill="1" applyBorder="1" applyAlignment="1">
      <alignment horizontal="center"/>
    </xf>
    <xf numFmtId="164" fontId="18" fillId="31" borderId="84" xfId="1" applyFill="1" applyBorder="1" applyAlignment="1">
      <alignment horizontal="center"/>
    </xf>
    <xf numFmtId="164" fontId="18" fillId="15" borderId="71" xfId="1" applyFill="1" applyBorder="1"/>
    <xf numFmtId="165" fontId="18" fillId="15" borderId="121" xfId="1" applyNumberFormat="1" applyFill="1" applyBorder="1" applyAlignment="1">
      <alignment horizontal="center"/>
    </xf>
    <xf numFmtId="164" fontId="18" fillId="15" borderId="58" xfId="1" applyFill="1" applyBorder="1"/>
    <xf numFmtId="165" fontId="18" fillId="12" borderId="122" xfId="1" applyNumberFormat="1" applyFill="1" applyBorder="1" applyAlignment="1">
      <alignment horizontal="center"/>
    </xf>
    <xf numFmtId="165" fontId="18" fillId="12" borderId="33" xfId="1" applyNumberFormat="1" applyFill="1" applyBorder="1" applyAlignment="1">
      <alignment horizontal="center"/>
    </xf>
    <xf numFmtId="165" fontId="18" fillId="12" borderId="84" xfId="1" applyNumberFormat="1" applyFill="1" applyBorder="1" applyAlignment="1">
      <alignment horizontal="center"/>
    </xf>
    <xf numFmtId="165" fontId="18" fillId="15" borderId="83" xfId="1" applyNumberFormat="1" applyFill="1" applyBorder="1" applyAlignment="1">
      <alignment horizontal="center"/>
    </xf>
    <xf numFmtId="164" fontId="18" fillId="38" borderId="5" xfId="1" applyFill="1" applyBorder="1"/>
    <xf numFmtId="164" fontId="18" fillId="39" borderId="15" xfId="1" applyFill="1" applyBorder="1" applyAlignment="1">
      <alignment horizontal="center"/>
    </xf>
    <xf numFmtId="164" fontId="18" fillId="39" borderId="16" xfId="1" applyFill="1" applyBorder="1" applyAlignment="1">
      <alignment horizontal="center"/>
    </xf>
    <xf numFmtId="164" fontId="18" fillId="39" borderId="17" xfId="1" applyFill="1" applyBorder="1" applyAlignment="1">
      <alignment horizontal="center"/>
    </xf>
    <xf numFmtId="164" fontId="18" fillId="39" borderId="20" xfId="1" applyFill="1" applyBorder="1" applyAlignment="1">
      <alignment horizontal="center"/>
    </xf>
    <xf numFmtId="164" fontId="18" fillId="39" borderId="0" xfId="1" applyFill="1" applyBorder="1" applyAlignment="1">
      <alignment horizontal="center"/>
    </xf>
    <xf numFmtId="164" fontId="18" fillId="39" borderId="21" xfId="1" applyFill="1" applyBorder="1" applyAlignment="1">
      <alignment horizontal="center"/>
    </xf>
    <xf numFmtId="164" fontId="18" fillId="37" borderId="6" xfId="1" applyFill="1" applyBorder="1" applyAlignment="1">
      <alignment horizontal="center"/>
    </xf>
    <xf numFmtId="164" fontId="33" fillId="38" borderId="3" xfId="1" applyFont="1" applyFill="1" applyBorder="1" applyAlignment="1">
      <alignment horizontal="center"/>
    </xf>
    <xf numFmtId="164" fontId="19" fillId="38" borderId="3" xfId="1" applyFont="1" applyFill="1" applyBorder="1" applyAlignment="1">
      <alignment horizontal="center"/>
    </xf>
    <xf numFmtId="164" fontId="18" fillId="38" borderId="3" xfId="1" applyFill="1" applyBorder="1" applyAlignment="1">
      <alignment horizontal="center"/>
    </xf>
    <xf numFmtId="164" fontId="32" fillId="38" borderId="3" xfId="1" applyFont="1" applyFill="1" applyBorder="1" applyAlignment="1">
      <alignment horizontal="center"/>
    </xf>
    <xf numFmtId="164" fontId="18" fillId="37" borderId="11" xfId="1" applyFill="1" applyBorder="1" applyAlignment="1">
      <alignment horizontal="center"/>
    </xf>
    <xf numFmtId="164" fontId="18" fillId="38" borderId="2" xfId="1" applyFill="1" applyBorder="1" applyAlignment="1">
      <alignment horizontal="center"/>
    </xf>
    <xf numFmtId="164" fontId="18" fillId="40" borderId="5" xfId="1" applyFill="1" applyBorder="1"/>
    <xf numFmtId="164" fontId="18" fillId="41" borderId="15" xfId="1" applyFill="1" applyBorder="1" applyAlignment="1">
      <alignment horizontal="center"/>
    </xf>
    <xf numFmtId="164" fontId="18" fillId="41" borderId="16" xfId="1" applyFill="1" applyBorder="1" applyAlignment="1">
      <alignment horizontal="center"/>
    </xf>
    <xf numFmtId="164" fontId="18" fillId="41" borderId="17" xfId="1" applyFill="1" applyBorder="1" applyAlignment="1">
      <alignment horizontal="center"/>
    </xf>
    <xf numFmtId="164" fontId="18" fillId="41" borderId="20" xfId="1" applyFill="1" applyBorder="1" applyAlignment="1">
      <alignment horizontal="center"/>
    </xf>
    <xf numFmtId="164" fontId="18" fillId="41" borderId="0" xfId="1" applyFill="1" applyBorder="1" applyAlignment="1">
      <alignment horizontal="center"/>
    </xf>
    <xf numFmtId="164" fontId="18" fillId="41" borderId="21" xfId="1" applyFill="1" applyBorder="1" applyAlignment="1">
      <alignment horizontal="center"/>
    </xf>
    <xf numFmtId="164" fontId="18" fillId="16" borderId="6" xfId="1" applyFill="1" applyBorder="1" applyAlignment="1">
      <alignment horizontal="center"/>
    </xf>
    <xf numFmtId="164" fontId="33" fillId="40" borderId="3" xfId="1" applyFont="1" applyFill="1" applyBorder="1" applyAlignment="1">
      <alignment horizontal="center"/>
    </xf>
    <xf numFmtId="164" fontId="19" fillId="40" borderId="3" xfId="1" applyFont="1" applyFill="1" applyBorder="1" applyAlignment="1">
      <alignment horizontal="center"/>
    </xf>
    <xf numFmtId="164" fontId="18" fillId="40" borderId="3" xfId="1" applyFill="1" applyBorder="1" applyAlignment="1">
      <alignment horizontal="center"/>
    </xf>
    <xf numFmtId="164" fontId="32" fillId="40" borderId="3" xfId="1" applyFont="1" applyFill="1" applyBorder="1" applyAlignment="1">
      <alignment horizontal="center"/>
    </xf>
    <xf numFmtId="164" fontId="18" fillId="16" borderId="11" xfId="1" applyFill="1" applyBorder="1" applyAlignment="1">
      <alignment horizontal="center"/>
    </xf>
    <xf numFmtId="164" fontId="18" fillId="40" borderId="2" xfId="1" applyFill="1" applyBorder="1" applyAlignment="1">
      <alignment horizontal="center"/>
    </xf>
    <xf numFmtId="164" fontId="18" fillId="24" borderId="10" xfId="1" applyFill="1" applyBorder="1"/>
    <xf numFmtId="164" fontId="18" fillId="24" borderId="2" xfId="1" applyFill="1" applyBorder="1"/>
    <xf numFmtId="164" fontId="18" fillId="24" borderId="4" xfId="1" applyFill="1" applyBorder="1"/>
    <xf numFmtId="164" fontId="18" fillId="24" borderId="15" xfId="1" applyFill="1" applyBorder="1" applyAlignment="1">
      <alignment horizontal="center"/>
    </xf>
    <xf numFmtId="164" fontId="18" fillId="24" borderId="16" xfId="1" applyFill="1" applyBorder="1" applyAlignment="1">
      <alignment horizontal="center"/>
    </xf>
    <xf numFmtId="164" fontId="18" fillId="42" borderId="17" xfId="1" applyFill="1" applyBorder="1" applyAlignment="1">
      <alignment horizontal="center"/>
    </xf>
    <xf numFmtId="164" fontId="18" fillId="24" borderId="0" xfId="1" applyFill="1" applyAlignment="1">
      <alignment horizontal="center"/>
    </xf>
    <xf numFmtId="164" fontId="18" fillId="42" borderId="21" xfId="1" applyFill="1" applyBorder="1" applyAlignment="1">
      <alignment horizontal="center"/>
    </xf>
    <xf numFmtId="164" fontId="18" fillId="24" borderId="6" xfId="1" applyFill="1" applyBorder="1" applyAlignment="1">
      <alignment horizontal="center"/>
    </xf>
    <xf numFmtId="164" fontId="33" fillId="24" borderId="3" xfId="1" applyFont="1" applyFill="1" applyBorder="1" applyAlignment="1">
      <alignment horizontal="center"/>
    </xf>
    <xf numFmtId="164" fontId="19" fillId="24" borderId="3" xfId="1" applyFont="1" applyFill="1" applyBorder="1" applyAlignment="1">
      <alignment horizontal="center"/>
    </xf>
    <xf numFmtId="164" fontId="18" fillId="17" borderId="6" xfId="1" applyFill="1" applyBorder="1" applyAlignment="1">
      <alignment horizontal="center"/>
    </xf>
    <xf numFmtId="164" fontId="32" fillId="24" borderId="3" xfId="1" applyFont="1" applyFill="1" applyBorder="1" applyAlignment="1">
      <alignment horizontal="center"/>
    </xf>
    <xf numFmtId="164" fontId="19" fillId="24" borderId="2" xfId="1" applyFont="1" applyFill="1" applyBorder="1" applyAlignment="1">
      <alignment horizontal="center"/>
    </xf>
    <xf numFmtId="165" fontId="18" fillId="0" borderId="50" xfId="1" applyNumberFormat="1" applyBorder="1" applyAlignment="1">
      <alignment horizontal="center"/>
    </xf>
    <xf numFmtId="165" fontId="18" fillId="0" borderId="71" xfId="1" applyNumberFormat="1" applyBorder="1" applyAlignment="1">
      <alignment horizontal="center"/>
    </xf>
    <xf numFmtId="165" fontId="18" fillId="0" borderId="86" xfId="1" applyNumberFormat="1" applyBorder="1" applyAlignment="1">
      <alignment horizontal="center"/>
    </xf>
    <xf numFmtId="165" fontId="18" fillId="0" borderId="69" xfId="1" applyNumberFormat="1" applyBorder="1" applyAlignment="1" applyProtection="1">
      <alignment horizontal="center"/>
    </xf>
    <xf numFmtId="165" fontId="18" fillId="0" borderId="52" xfId="1" applyNumberFormat="1" applyBorder="1" applyAlignment="1">
      <alignment horizontal="center"/>
    </xf>
    <xf numFmtId="165" fontId="18" fillId="0" borderId="54" xfId="1" applyNumberFormat="1" applyBorder="1" applyAlignment="1">
      <alignment horizontal="center"/>
    </xf>
    <xf numFmtId="165" fontId="18" fillId="10" borderId="32" xfId="1" applyNumberFormat="1" applyFill="1" applyBorder="1" applyAlignment="1">
      <alignment horizontal="center"/>
    </xf>
    <xf numFmtId="165" fontId="18" fillId="10" borderId="60" xfId="1" applyNumberFormat="1" applyFill="1" applyBorder="1" applyAlignment="1">
      <alignment horizontal="center"/>
    </xf>
    <xf numFmtId="165" fontId="19" fillId="11" borderId="123" xfId="1" applyNumberFormat="1" applyFont="1" applyFill="1" applyBorder="1" applyAlignment="1">
      <alignment horizontal="center"/>
    </xf>
    <xf numFmtId="164" fontId="19" fillId="11" borderId="58" xfId="1" applyFont="1" applyFill="1" applyBorder="1" applyAlignment="1">
      <alignment horizontal="center"/>
    </xf>
    <xf numFmtId="164" fontId="19" fillId="11" borderId="59" xfId="1" applyFont="1" applyFill="1" applyBorder="1" applyAlignment="1">
      <alignment horizontal="center"/>
    </xf>
    <xf numFmtId="164" fontId="19" fillId="11" borderId="60" xfId="1" applyFont="1" applyFill="1" applyBorder="1" applyAlignment="1">
      <alignment horizontal="center"/>
    </xf>
    <xf numFmtId="168" fontId="19" fillId="11" borderId="61" xfId="1" applyNumberFormat="1" applyFont="1" applyFill="1" applyBorder="1" applyAlignment="1" applyProtection="1">
      <alignment horizontal="center"/>
    </xf>
    <xf numFmtId="9" fontId="19" fillId="11" borderId="58" xfId="2" applyFont="1" applyFill="1" applyBorder="1" applyAlignment="1" applyProtection="1">
      <alignment horizontal="center"/>
    </xf>
    <xf numFmtId="165" fontId="19" fillId="10" borderId="60" xfId="1" applyNumberFormat="1" applyFont="1" applyFill="1" applyBorder="1" applyAlignment="1">
      <alignment horizontal="center"/>
    </xf>
    <xf numFmtId="164" fontId="24" fillId="0" borderId="58" xfId="1" applyFont="1" applyBorder="1" applyAlignment="1">
      <alignment horizontal="center" vertical="center"/>
    </xf>
    <xf numFmtId="164" fontId="24" fillId="0" borderId="59" xfId="1" applyFont="1" applyBorder="1" applyAlignment="1">
      <alignment horizontal="center" vertical="center"/>
    </xf>
    <xf numFmtId="164" fontId="24" fillId="0" borderId="60" xfId="1" applyFont="1" applyBorder="1" applyAlignment="1">
      <alignment horizontal="center" vertical="center"/>
    </xf>
    <xf numFmtId="165" fontId="18" fillId="0" borderId="117" xfId="1" applyNumberFormat="1" applyBorder="1" applyAlignment="1">
      <alignment horizontal="center"/>
    </xf>
    <xf numFmtId="165" fontId="18" fillId="0" borderId="22" xfId="1" applyNumberFormat="1" applyBorder="1" applyAlignment="1" applyProtection="1">
      <alignment horizontal="center"/>
    </xf>
    <xf numFmtId="165" fontId="18" fillId="0" borderId="70" xfId="1" applyNumberFormat="1" applyBorder="1" applyAlignment="1" applyProtection="1">
      <alignment horizontal="center"/>
    </xf>
    <xf numFmtId="164" fontId="18" fillId="0" borderId="89" xfId="1" applyBorder="1" applyAlignment="1">
      <alignment horizontal="center"/>
    </xf>
    <xf numFmtId="164" fontId="18" fillId="0" borderId="90" xfId="1" applyBorder="1" applyAlignment="1">
      <alignment horizontal="center"/>
    </xf>
    <xf numFmtId="164" fontId="18" fillId="0" borderId="83" xfId="1" applyBorder="1" applyAlignment="1">
      <alignment horizontal="center"/>
    </xf>
    <xf numFmtId="164" fontId="18" fillId="0" borderId="92" xfId="1" applyBorder="1" applyAlignment="1">
      <alignment horizontal="center"/>
    </xf>
    <xf numFmtId="165" fontId="18" fillId="9" borderId="58" xfId="1" applyNumberFormat="1" applyFill="1" applyBorder="1" applyAlignment="1">
      <alignment horizontal="center"/>
    </xf>
    <xf numFmtId="165" fontId="18" fillId="9" borderId="60" xfId="1" applyNumberFormat="1" applyFill="1" applyBorder="1" applyAlignment="1">
      <alignment horizontal="center"/>
    </xf>
    <xf numFmtId="164" fontId="18" fillId="11" borderId="83" xfId="1" applyFill="1" applyBorder="1" applyAlignment="1">
      <alignment horizontal="center"/>
    </xf>
    <xf numFmtId="165" fontId="18" fillId="0" borderId="15" xfId="1" applyNumberFormat="1" applyBorder="1" applyAlignment="1" applyProtection="1">
      <alignment horizontal="center"/>
    </xf>
    <xf numFmtId="165" fontId="18" fillId="0" borderId="15" xfId="1" applyNumberFormat="1" applyBorder="1" applyAlignment="1">
      <alignment horizontal="center"/>
    </xf>
    <xf numFmtId="165" fontId="18" fillId="0" borderId="118" xfId="1" applyNumberFormat="1" applyBorder="1" applyAlignment="1" applyProtection="1">
      <alignment horizontal="center"/>
    </xf>
    <xf numFmtId="164" fontId="18" fillId="11" borderId="85" xfId="1" applyFill="1" applyBorder="1" applyAlignment="1">
      <alignment horizontal="center"/>
    </xf>
    <xf numFmtId="165" fontId="18" fillId="10" borderId="58" xfId="1" applyNumberFormat="1" applyFill="1" applyBorder="1" applyAlignment="1">
      <alignment horizontal="center"/>
    </xf>
    <xf numFmtId="165" fontId="18" fillId="10" borderId="86" xfId="1" applyNumberFormat="1" applyFill="1" applyBorder="1" applyAlignment="1">
      <alignment horizontal="center"/>
    </xf>
    <xf numFmtId="165" fontId="18" fillId="10" borderId="107" xfId="1" applyNumberFormat="1" applyFill="1" applyBorder="1" applyAlignment="1">
      <alignment horizontal="center"/>
    </xf>
    <xf numFmtId="164" fontId="19" fillId="11" borderId="83" xfId="1" applyFont="1" applyFill="1" applyBorder="1" applyAlignment="1">
      <alignment horizontal="center"/>
    </xf>
    <xf numFmtId="0" fontId="34" fillId="0" borderId="0" xfId="4" applyFont="1" applyAlignment="1">
      <alignment horizontal="center"/>
    </xf>
    <xf numFmtId="0" fontId="34" fillId="0" borderId="0" xfId="4" applyFont="1"/>
    <xf numFmtId="0" fontId="34" fillId="34" borderId="24" xfId="4" applyFont="1" applyFill="1" applyBorder="1" applyAlignment="1">
      <alignment horizontal="center"/>
    </xf>
    <xf numFmtId="0" fontId="16" fillId="0" borderId="0" xfId="4" applyAlignment="1">
      <alignment horizontal="center"/>
    </xf>
    <xf numFmtId="0" fontId="36" fillId="0" borderId="0" xfId="4" applyFont="1" applyAlignment="1">
      <alignment horizontal="center" vertical="center"/>
    </xf>
    <xf numFmtId="0" fontId="16" fillId="0" borderId="0" xfId="4"/>
    <xf numFmtId="0" fontId="16" fillId="0" borderId="58" xfId="4" applyBorder="1" applyAlignment="1">
      <alignment horizontal="center" vertical="center"/>
    </xf>
    <xf numFmtId="0" fontId="16" fillId="0" borderId="59" xfId="4" applyBorder="1" applyAlignment="1">
      <alignment horizontal="center" vertical="center"/>
    </xf>
    <xf numFmtId="0" fontId="16" fillId="14" borderId="59" xfId="4" applyFill="1" applyBorder="1" applyAlignment="1">
      <alignment horizontal="center" vertical="center" wrapText="1"/>
    </xf>
    <xf numFmtId="0" fontId="16" fillId="0" borderId="73" xfId="4" applyBorder="1"/>
    <xf numFmtId="0" fontId="16" fillId="33" borderId="59" xfId="4" applyFill="1" applyBorder="1" applyAlignment="1">
      <alignment horizontal="center" vertical="center" wrapText="1"/>
    </xf>
    <xf numFmtId="0" fontId="16" fillId="0" borderId="73" xfId="4" applyBorder="1" applyAlignment="1">
      <alignment horizontal="center" vertical="center" wrapText="1"/>
    </xf>
    <xf numFmtId="0" fontId="16" fillId="34" borderId="59" xfId="4" applyFill="1" applyBorder="1" applyAlignment="1">
      <alignment horizontal="center" vertical="center" wrapText="1"/>
    </xf>
    <xf numFmtId="0" fontId="16" fillId="20" borderId="59" xfId="4" applyFill="1" applyBorder="1" applyAlignment="1">
      <alignment horizontal="center" vertical="center"/>
    </xf>
    <xf numFmtId="0" fontId="16" fillId="20" borderId="59" xfId="4" applyFill="1" applyBorder="1" applyAlignment="1">
      <alignment horizontal="center" vertical="center" wrapText="1"/>
    </xf>
    <xf numFmtId="0" fontId="37" fillId="0" borderId="73" xfId="4" applyFont="1" applyBorder="1" applyAlignment="1">
      <alignment horizontal="center" vertical="center" wrapText="1"/>
    </xf>
    <xf numFmtId="0" fontId="16" fillId="33" borderId="61" xfId="4" applyFill="1" applyBorder="1" applyAlignment="1">
      <alignment horizontal="center"/>
    </xf>
    <xf numFmtId="0" fontId="16" fillId="33" borderId="62" xfId="4" applyFill="1" applyBorder="1" applyAlignment="1">
      <alignment horizontal="center"/>
    </xf>
    <xf numFmtId="0" fontId="16" fillId="33" borderId="65" xfId="4" applyFill="1" applyBorder="1" applyAlignment="1">
      <alignment horizontal="center"/>
    </xf>
    <xf numFmtId="0" fontId="16" fillId="43" borderId="61" xfId="4" applyFill="1" applyBorder="1" applyAlignment="1">
      <alignment horizontal="center"/>
    </xf>
    <xf numFmtId="0" fontId="16" fillId="43" borderId="62" xfId="4" applyFill="1" applyBorder="1" applyAlignment="1">
      <alignment horizontal="center"/>
    </xf>
    <xf numFmtId="0" fontId="16" fillId="43" borderId="65" xfId="4" applyFill="1" applyBorder="1" applyAlignment="1">
      <alignment horizontal="center"/>
    </xf>
    <xf numFmtId="0" fontId="16" fillId="34" borderId="61" xfId="4" applyFill="1" applyBorder="1" applyAlignment="1">
      <alignment horizontal="center"/>
    </xf>
    <xf numFmtId="0" fontId="16" fillId="34" borderId="62" xfId="4" applyFill="1" applyBorder="1" applyAlignment="1">
      <alignment horizontal="center"/>
    </xf>
    <xf numFmtId="0" fontId="16" fillId="34" borderId="65" xfId="4" applyFill="1" applyBorder="1" applyAlignment="1">
      <alignment horizontal="center"/>
    </xf>
    <xf numFmtId="0" fontId="16" fillId="20" borderId="61" xfId="4" applyFill="1" applyBorder="1" applyAlignment="1">
      <alignment horizontal="center"/>
    </xf>
    <xf numFmtId="0" fontId="16" fillId="20" borderId="62" xfId="4" applyFill="1" applyBorder="1" applyAlignment="1">
      <alignment horizontal="center"/>
    </xf>
    <xf numFmtId="0" fontId="16" fillId="20" borderId="65" xfId="4" applyFill="1" applyBorder="1" applyAlignment="1">
      <alignment horizontal="center"/>
    </xf>
    <xf numFmtId="0" fontId="16" fillId="20" borderId="105" xfId="4" applyFill="1" applyBorder="1" applyAlignment="1">
      <alignment horizontal="center"/>
    </xf>
    <xf numFmtId="0" fontId="16" fillId="0" borderId="26" xfId="4" applyBorder="1"/>
    <xf numFmtId="0" fontId="16" fillId="14" borderId="26" xfId="4" applyFill="1" applyBorder="1" applyAlignment="1">
      <alignment horizontal="center" vertical="center"/>
    </xf>
    <xf numFmtId="0" fontId="16" fillId="33" borderId="26" xfId="4" applyFill="1" applyBorder="1" applyAlignment="1">
      <alignment horizontal="center"/>
    </xf>
    <xf numFmtId="0" fontId="16" fillId="33" borderId="26" xfId="4" applyFill="1" applyBorder="1" applyAlignment="1">
      <alignment horizontal="center" vertical="center"/>
    </xf>
    <xf numFmtId="0" fontId="16" fillId="0" borderId="0" xfId="4" applyAlignment="1">
      <alignment horizontal="center" vertical="center"/>
    </xf>
    <xf numFmtId="0" fontId="16" fillId="34" borderId="26" xfId="4" applyFill="1" applyBorder="1" applyAlignment="1">
      <alignment horizontal="center" vertical="center"/>
    </xf>
    <xf numFmtId="0" fontId="16" fillId="20" borderId="26" xfId="4" applyFill="1" applyBorder="1" applyAlignment="1">
      <alignment horizontal="center" vertical="center"/>
    </xf>
    <xf numFmtId="166" fontId="16" fillId="20" borderId="26" xfId="4" applyNumberFormat="1" applyFill="1" applyBorder="1" applyAlignment="1">
      <alignment horizontal="center"/>
    </xf>
    <xf numFmtId="166" fontId="37" fillId="0" borderId="0" xfId="4" applyNumberFormat="1" applyFont="1" applyAlignment="1">
      <alignment horizontal="center"/>
    </xf>
    <xf numFmtId="0" fontId="16" fillId="33" borderId="14" xfId="4" applyFill="1" applyBorder="1" applyAlignment="1">
      <alignment horizontal="center" vertical="center"/>
    </xf>
    <xf numFmtId="1" fontId="16" fillId="33" borderId="14" xfId="4" applyNumberFormat="1" applyFill="1" applyBorder="1" applyAlignment="1">
      <alignment horizontal="center" vertical="center"/>
    </xf>
    <xf numFmtId="166" fontId="16" fillId="33" borderId="15" xfId="4" applyNumberFormat="1" applyFill="1" applyBorder="1" applyAlignment="1">
      <alignment horizontal="center" vertical="center"/>
    </xf>
    <xf numFmtId="0" fontId="16" fillId="0" borderId="14" xfId="4" applyBorder="1"/>
    <xf numFmtId="0" fontId="16" fillId="14" borderId="14" xfId="4" applyFill="1" applyBorder="1" applyAlignment="1">
      <alignment horizontal="center" vertical="center"/>
    </xf>
    <xf numFmtId="0" fontId="16" fillId="33" borderId="14" xfId="4" applyFill="1" applyBorder="1" applyAlignment="1">
      <alignment horizontal="center"/>
    </xf>
    <xf numFmtId="0" fontId="16" fillId="34" borderId="14" xfId="4" applyFill="1" applyBorder="1" applyAlignment="1">
      <alignment horizontal="center" vertical="center"/>
    </xf>
    <xf numFmtId="0" fontId="16" fillId="20" borderId="14" xfId="4" applyFill="1" applyBorder="1" applyAlignment="1">
      <alignment horizontal="center" vertical="center"/>
    </xf>
    <xf numFmtId="166" fontId="16" fillId="20" borderId="14" xfId="4" applyNumberFormat="1" applyFill="1" applyBorder="1" applyAlignment="1">
      <alignment horizontal="center"/>
    </xf>
    <xf numFmtId="0" fontId="16" fillId="33" borderId="52" xfId="4" applyFill="1" applyBorder="1" applyAlignment="1">
      <alignment horizontal="center" vertical="center"/>
    </xf>
    <xf numFmtId="166" fontId="16" fillId="43" borderId="15" xfId="4" applyNumberFormat="1" applyFill="1" applyBorder="1" applyAlignment="1">
      <alignment horizontal="center" vertical="center"/>
    </xf>
    <xf numFmtId="0" fontId="16" fillId="43" borderId="52" xfId="4" applyFill="1" applyBorder="1" applyAlignment="1">
      <alignment horizontal="center" vertical="center"/>
    </xf>
    <xf numFmtId="1" fontId="16" fillId="43" borderId="14" xfId="4" applyNumberFormat="1" applyFill="1" applyBorder="1" applyAlignment="1">
      <alignment horizontal="center" vertical="center"/>
    </xf>
    <xf numFmtId="0" fontId="16" fillId="34" borderId="52" xfId="4" applyFill="1" applyBorder="1" applyAlignment="1">
      <alignment horizontal="center" vertical="center"/>
    </xf>
    <xf numFmtId="1" fontId="16" fillId="34" borderId="14" xfId="4" applyNumberFormat="1" applyFill="1" applyBorder="1" applyAlignment="1">
      <alignment horizontal="center" vertical="center"/>
    </xf>
    <xf numFmtId="0" fontId="16" fillId="20" borderId="52" xfId="4" applyFill="1" applyBorder="1" applyAlignment="1">
      <alignment horizontal="center" vertical="center"/>
    </xf>
    <xf numFmtId="1" fontId="16" fillId="20" borderId="14" xfId="4" applyNumberFormat="1" applyFill="1" applyBorder="1" applyAlignment="1">
      <alignment horizontal="center" vertical="center"/>
    </xf>
    <xf numFmtId="166" fontId="16" fillId="43" borderId="53" xfId="4" applyNumberFormat="1" applyFill="1" applyBorder="1" applyAlignment="1">
      <alignment horizontal="center" vertical="center"/>
    </xf>
    <xf numFmtId="1" fontId="16" fillId="14" borderId="14" xfId="4" applyNumberFormat="1" applyFill="1" applyBorder="1" applyAlignment="1">
      <alignment horizontal="center" vertical="center"/>
    </xf>
    <xf numFmtId="0" fontId="16" fillId="0" borderId="14" xfId="4" applyBorder="1" applyAlignment="1">
      <alignment vertical="center"/>
    </xf>
    <xf numFmtId="0" fontId="37" fillId="0" borderId="0" xfId="4" applyFont="1" applyAlignment="1">
      <alignment horizontal="center"/>
    </xf>
    <xf numFmtId="0" fontId="16" fillId="44" borderId="14" xfId="4" applyFill="1" applyBorder="1" applyAlignment="1">
      <alignment horizontal="center" vertical="center"/>
    </xf>
    <xf numFmtId="0" fontId="16" fillId="0" borderId="24" xfId="4" applyBorder="1" applyAlignment="1">
      <alignment horizontal="left" vertical="center"/>
    </xf>
    <xf numFmtId="0" fontId="16" fillId="33" borderId="24" xfId="4" applyFill="1" applyBorder="1" applyAlignment="1">
      <alignment horizontal="center" vertical="center"/>
    </xf>
    <xf numFmtId="1" fontId="16" fillId="34" borderId="24" xfId="4" applyNumberFormat="1" applyFill="1" applyBorder="1" applyAlignment="1">
      <alignment horizontal="center" vertical="center"/>
    </xf>
    <xf numFmtId="166" fontId="16" fillId="20" borderId="24" xfId="4" applyNumberFormat="1" applyFill="1" applyBorder="1" applyAlignment="1">
      <alignment horizontal="center" vertical="center"/>
    </xf>
    <xf numFmtId="166" fontId="16" fillId="33" borderId="14" xfId="4" applyNumberFormat="1" applyFill="1" applyBorder="1" applyAlignment="1">
      <alignment horizontal="center" vertical="center"/>
    </xf>
    <xf numFmtId="0" fontId="16" fillId="0" borderId="26" xfId="4" applyBorder="1" applyAlignment="1">
      <alignment horizontal="center" vertical="center"/>
    </xf>
    <xf numFmtId="1" fontId="16" fillId="34" borderId="26" xfId="4" applyNumberFormat="1" applyFill="1" applyBorder="1" applyAlignment="1">
      <alignment horizontal="center" vertical="center"/>
    </xf>
    <xf numFmtId="166" fontId="16" fillId="20" borderId="26" xfId="4" applyNumberFormat="1" applyFill="1" applyBorder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34" fillId="0" borderId="14" xfId="4" applyFont="1" applyBorder="1" applyAlignment="1">
      <alignment horizontal="center"/>
    </xf>
    <xf numFmtId="0" fontId="34" fillId="34" borderId="14" xfId="4" applyFont="1" applyFill="1" applyBorder="1" applyAlignment="1">
      <alignment horizontal="center" vertical="center"/>
    </xf>
    <xf numFmtId="0" fontId="16" fillId="0" borderId="14" xfId="4" applyBorder="1" applyAlignment="1">
      <alignment horizontal="center" vertical="center"/>
    </xf>
    <xf numFmtId="0" fontId="16" fillId="14" borderId="14" xfId="4" applyFill="1" applyBorder="1" applyAlignment="1">
      <alignment horizontal="center" vertical="center" wrapText="1"/>
    </xf>
    <xf numFmtId="0" fontId="16" fillId="33" borderId="14" xfId="4" applyFill="1" applyBorder="1" applyAlignment="1">
      <alignment horizontal="center" vertical="center" wrapText="1"/>
    </xf>
    <xf numFmtId="0" fontId="16" fillId="0" borderId="0" xfId="4" applyAlignment="1">
      <alignment horizontal="center" vertical="center" wrapText="1"/>
    </xf>
    <xf numFmtId="0" fontId="16" fillId="34" borderId="14" xfId="4" applyFill="1" applyBorder="1" applyAlignment="1">
      <alignment horizontal="center" vertical="center" wrapText="1"/>
    </xf>
    <xf numFmtId="0" fontId="16" fillId="20" borderId="14" xfId="4" applyFill="1" applyBorder="1" applyAlignment="1">
      <alignment horizontal="center" vertical="center" wrapText="1"/>
    </xf>
    <xf numFmtId="0" fontId="16" fillId="33" borderId="58" xfId="4" applyFill="1" applyBorder="1" applyAlignment="1">
      <alignment horizontal="center"/>
    </xf>
    <xf numFmtId="0" fontId="16" fillId="33" borderId="59" xfId="4" applyFill="1" applyBorder="1" applyAlignment="1">
      <alignment horizontal="center"/>
    </xf>
    <xf numFmtId="0" fontId="16" fillId="33" borderId="81" xfId="4" applyFill="1" applyBorder="1" applyAlignment="1">
      <alignment horizontal="center"/>
    </xf>
    <xf numFmtId="0" fontId="16" fillId="43" borderId="58" xfId="4" applyFill="1" applyBorder="1" applyAlignment="1">
      <alignment horizontal="center"/>
    </xf>
    <xf numFmtId="0" fontId="16" fillId="43" borderId="59" xfId="4" applyFill="1" applyBorder="1" applyAlignment="1">
      <alignment horizontal="center"/>
    </xf>
    <xf numFmtId="0" fontId="16" fillId="43" borderId="81" xfId="4" applyFill="1" applyBorder="1" applyAlignment="1">
      <alignment horizontal="center"/>
    </xf>
    <xf numFmtId="0" fontId="16" fillId="34" borderId="58" xfId="4" applyFill="1" applyBorder="1" applyAlignment="1">
      <alignment horizontal="center"/>
    </xf>
    <xf numFmtId="0" fontId="16" fillId="34" borderId="59" xfId="4" applyFill="1" applyBorder="1" applyAlignment="1">
      <alignment horizontal="center"/>
    </xf>
    <xf numFmtId="0" fontId="16" fillId="34" borderId="81" xfId="4" applyFill="1" applyBorder="1" applyAlignment="1">
      <alignment horizontal="center"/>
    </xf>
    <xf numFmtId="0" fontId="16" fillId="20" borderId="58" xfId="4" applyFill="1" applyBorder="1" applyAlignment="1">
      <alignment horizontal="center"/>
    </xf>
    <xf numFmtId="0" fontId="16" fillId="20" borderId="59" xfId="4" applyFill="1" applyBorder="1" applyAlignment="1">
      <alignment horizontal="center"/>
    </xf>
    <xf numFmtId="0" fontId="16" fillId="20" borderId="81" xfId="4" applyFill="1" applyBorder="1" applyAlignment="1">
      <alignment horizontal="center"/>
    </xf>
    <xf numFmtId="0" fontId="16" fillId="20" borderId="60" xfId="4" applyFill="1" applyBorder="1" applyAlignment="1">
      <alignment horizontal="center"/>
    </xf>
    <xf numFmtId="0" fontId="16" fillId="33" borderId="14" xfId="4" applyFill="1" applyBorder="1"/>
    <xf numFmtId="166" fontId="16" fillId="14" borderId="14" xfId="4" applyNumberFormat="1" applyFill="1" applyBorder="1" applyAlignment="1">
      <alignment horizontal="center" vertical="center"/>
    </xf>
    <xf numFmtId="0" fontId="15" fillId="0" borderId="14" xfId="4" applyFont="1" applyBorder="1"/>
    <xf numFmtId="0" fontId="15" fillId="0" borderId="14" xfId="4" applyFont="1" applyBorder="1" applyAlignment="1">
      <alignment vertical="center"/>
    </xf>
    <xf numFmtId="0" fontId="14" fillId="14" borderId="14" xfId="4" applyFont="1" applyFill="1" applyBorder="1" applyAlignment="1">
      <alignment horizontal="center" vertical="center"/>
    </xf>
    <xf numFmtId="0" fontId="14" fillId="0" borderId="14" xfId="4" applyFont="1" applyBorder="1"/>
    <xf numFmtId="0" fontId="14" fillId="33" borderId="14" xfId="4" applyFont="1" applyFill="1" applyBorder="1" applyAlignment="1">
      <alignment horizontal="center" vertical="center"/>
    </xf>
    <xf numFmtId="0" fontId="13" fillId="33" borderId="14" xfId="4" applyFont="1" applyFill="1" applyBorder="1" applyAlignment="1">
      <alignment horizontal="center" vertical="center"/>
    </xf>
    <xf numFmtId="0" fontId="12" fillId="0" borderId="14" xfId="4" applyFont="1" applyBorder="1"/>
    <xf numFmtId="0" fontId="11" fillId="33" borderId="14" xfId="4" applyFont="1" applyFill="1" applyBorder="1" applyAlignment="1">
      <alignment horizontal="center" vertical="center"/>
    </xf>
    <xf numFmtId="0" fontId="10" fillId="0" borderId="14" xfId="4" applyFont="1" applyBorder="1" applyAlignment="1">
      <alignment vertical="center"/>
    </xf>
    <xf numFmtId="164" fontId="18" fillId="45" borderId="52" xfId="1" applyFill="1" applyBorder="1"/>
    <xf numFmtId="0" fontId="9" fillId="0" borderId="14" xfId="4" applyFont="1" applyBorder="1"/>
    <xf numFmtId="0" fontId="9" fillId="0" borderId="14" xfId="4" applyFont="1" applyBorder="1" applyAlignment="1">
      <alignment vertical="center"/>
    </xf>
    <xf numFmtId="0" fontId="9" fillId="0" borderId="14" xfId="4" applyFont="1" applyBorder="1" applyAlignment="1">
      <alignment horizontal="left"/>
    </xf>
    <xf numFmtId="166" fontId="16" fillId="43" borderId="14" xfId="4" applyNumberFormat="1" applyFill="1" applyBorder="1" applyAlignment="1">
      <alignment horizontal="center" vertical="center"/>
    </xf>
    <xf numFmtId="0" fontId="16" fillId="43" borderId="14" xfId="4" applyFill="1" applyBorder="1" applyAlignment="1">
      <alignment horizontal="center" vertical="center"/>
    </xf>
    <xf numFmtId="164" fontId="18" fillId="46" borderId="34" xfId="1" applyFill="1" applyBorder="1"/>
    <xf numFmtId="164" fontId="18" fillId="46" borderId="36" xfId="1" applyFill="1" applyBorder="1"/>
    <xf numFmtId="164" fontId="18" fillId="46" borderId="44" xfId="1" applyFill="1" applyBorder="1"/>
    <xf numFmtId="164" fontId="18" fillId="46" borderId="32" xfId="1" applyFill="1" applyBorder="1"/>
    <xf numFmtId="164" fontId="18" fillId="46" borderId="67" xfId="1" applyFill="1" applyBorder="1"/>
    <xf numFmtId="164" fontId="18" fillId="46" borderId="115" xfId="1" applyFill="1" applyBorder="1"/>
    <xf numFmtId="164" fontId="18" fillId="46" borderId="100" xfId="1" applyFill="1" applyBorder="1"/>
    <xf numFmtId="164" fontId="18" fillId="45" borderId="3" xfId="1" applyFill="1" applyBorder="1" applyAlignment="1">
      <alignment horizontal="center"/>
    </xf>
    <xf numFmtId="164" fontId="18" fillId="45" borderId="3" xfId="1" applyFill="1" applyBorder="1" applyAlignment="1" applyProtection="1">
      <alignment horizontal="center"/>
    </xf>
    <xf numFmtId="164" fontId="18" fillId="45" borderId="94" xfId="1" applyFill="1" applyBorder="1" applyAlignment="1">
      <alignment horizontal="center"/>
    </xf>
    <xf numFmtId="165" fontId="18" fillId="46" borderId="27" xfId="1" applyNumberFormat="1" applyFill="1" applyBorder="1" applyAlignment="1">
      <alignment horizontal="center"/>
    </xf>
    <xf numFmtId="165" fontId="18" fillId="46" borderId="28" xfId="1" applyNumberFormat="1" applyFill="1" applyBorder="1" applyAlignment="1">
      <alignment horizontal="center"/>
    </xf>
    <xf numFmtId="165" fontId="18" fillId="46" borderId="96" xfId="1" applyNumberFormat="1" applyFill="1" applyBorder="1" applyAlignment="1">
      <alignment horizontal="center"/>
    </xf>
    <xf numFmtId="165" fontId="18" fillId="46" borderId="83" xfId="1" applyNumberFormat="1" applyFill="1" applyBorder="1" applyAlignment="1">
      <alignment horizontal="center"/>
    </xf>
    <xf numFmtId="165" fontId="18" fillId="46" borderId="112" xfId="1" applyNumberFormat="1" applyFill="1" applyBorder="1" applyAlignment="1">
      <alignment horizontal="center"/>
    </xf>
    <xf numFmtId="164" fontId="18" fillId="46" borderId="5" xfId="1" applyFill="1" applyBorder="1"/>
    <xf numFmtId="164" fontId="18" fillId="45" borderId="15" xfId="1" applyFill="1" applyBorder="1" applyAlignment="1">
      <alignment horizontal="center"/>
    </xf>
    <xf numFmtId="164" fontId="18" fillId="45" borderId="16" xfId="1" applyFill="1" applyBorder="1" applyAlignment="1">
      <alignment horizontal="center"/>
    </xf>
    <xf numFmtId="164" fontId="18" fillId="45" borderId="17" xfId="1" applyFill="1" applyBorder="1" applyAlignment="1">
      <alignment horizontal="center"/>
    </xf>
    <xf numFmtId="164" fontId="18" fillId="45" borderId="20" xfId="1" applyFill="1" applyBorder="1" applyAlignment="1">
      <alignment horizontal="center"/>
    </xf>
    <xf numFmtId="164" fontId="18" fillId="45" borderId="0" xfId="1" applyFill="1" applyBorder="1" applyAlignment="1">
      <alignment horizontal="center"/>
    </xf>
    <xf numFmtId="164" fontId="18" fillId="45" borderId="21" xfId="1" applyFill="1" applyBorder="1" applyAlignment="1">
      <alignment horizontal="center"/>
    </xf>
    <xf numFmtId="164" fontId="33" fillId="46" borderId="3" xfId="1" applyFont="1" applyFill="1" applyBorder="1" applyAlignment="1">
      <alignment horizontal="center"/>
    </xf>
    <xf numFmtId="164" fontId="19" fillId="46" borderId="3" xfId="1" applyFont="1" applyFill="1" applyBorder="1" applyAlignment="1">
      <alignment horizontal="center"/>
    </xf>
    <xf numFmtId="164" fontId="18" fillId="46" borderId="3" xfId="1" applyFill="1" applyBorder="1" applyAlignment="1">
      <alignment horizontal="center"/>
    </xf>
    <xf numFmtId="164" fontId="32" fillId="46" borderId="3" xfId="1" applyFont="1" applyFill="1" applyBorder="1" applyAlignment="1">
      <alignment horizontal="center"/>
    </xf>
    <xf numFmtId="164" fontId="18" fillId="46" borderId="2" xfId="1" applyFill="1" applyBorder="1" applyAlignment="1">
      <alignment horizontal="center"/>
    </xf>
    <xf numFmtId="164" fontId="18" fillId="47" borderId="12" xfId="1" applyFill="1" applyBorder="1"/>
    <xf numFmtId="164" fontId="18" fillId="47" borderId="50" xfId="1" applyFill="1" applyBorder="1"/>
    <xf numFmtId="164" fontId="18" fillId="47" borderId="52" xfId="1" applyFill="1" applyBorder="1"/>
    <xf numFmtId="164" fontId="18" fillId="47" borderId="56" xfId="1" applyFill="1" applyBorder="1"/>
    <xf numFmtId="164" fontId="18" fillId="47" borderId="58" xfId="1" applyFill="1" applyBorder="1"/>
    <xf numFmtId="164" fontId="18" fillId="47" borderId="71" xfId="1" applyFill="1" applyBorder="1"/>
    <xf numFmtId="165" fontId="18" fillId="47" borderId="8" xfId="1" applyNumberFormat="1" applyFill="1" applyBorder="1" applyAlignment="1">
      <alignment horizontal="center"/>
    </xf>
    <xf numFmtId="165" fontId="18" fillId="47" borderId="3" xfId="1" applyNumberFormat="1" applyFill="1" applyBorder="1" applyAlignment="1" applyProtection="1">
      <alignment horizontal="center"/>
    </xf>
    <xf numFmtId="165" fontId="18" fillId="47" borderId="3" xfId="1" applyNumberFormat="1" applyFill="1" applyBorder="1" applyAlignment="1">
      <alignment horizontal="center"/>
    </xf>
    <xf numFmtId="165" fontId="18" fillId="47" borderId="94" xfId="1" applyNumberFormat="1" applyFill="1" applyBorder="1" applyAlignment="1">
      <alignment horizontal="center"/>
    </xf>
    <xf numFmtId="165" fontId="18" fillId="47" borderId="89" xfId="1" applyNumberFormat="1" applyFill="1" applyBorder="1" applyAlignment="1">
      <alignment horizontal="center"/>
    </xf>
    <xf numFmtId="165" fontId="18" fillId="47" borderId="90" xfId="1" applyNumberFormat="1" applyFill="1" applyBorder="1" applyAlignment="1">
      <alignment horizontal="center"/>
    </xf>
    <xf numFmtId="165" fontId="18" fillId="47" borderId="92" xfId="1" applyNumberFormat="1" applyFill="1" applyBorder="1" applyAlignment="1">
      <alignment horizontal="center"/>
    </xf>
    <xf numFmtId="165" fontId="18" fillId="47" borderId="83" xfId="1" applyNumberFormat="1" applyFill="1" applyBorder="1" applyAlignment="1">
      <alignment horizontal="center"/>
    </xf>
    <xf numFmtId="165" fontId="18" fillId="47" borderId="121" xfId="1" applyNumberFormat="1" applyFill="1" applyBorder="1" applyAlignment="1">
      <alignment horizontal="center"/>
    </xf>
    <xf numFmtId="164" fontId="18" fillId="36" borderId="66" xfId="1" applyFill="1" applyBorder="1"/>
    <xf numFmtId="164" fontId="19" fillId="11" borderId="61" xfId="1" applyFont="1" applyFill="1" applyBorder="1" applyAlignment="1">
      <alignment horizontal="center"/>
    </xf>
    <xf numFmtId="164" fontId="19" fillId="11" borderId="62" xfId="1" applyFont="1" applyFill="1" applyBorder="1" applyAlignment="1">
      <alignment horizontal="center"/>
    </xf>
    <xf numFmtId="164" fontId="19" fillId="11" borderId="105" xfId="1" applyFont="1" applyFill="1" applyBorder="1" applyAlignment="1">
      <alignment horizontal="center"/>
    </xf>
    <xf numFmtId="164" fontId="18" fillId="0" borderId="85" xfId="1" applyBorder="1" applyAlignment="1">
      <alignment horizontal="center"/>
    </xf>
    <xf numFmtId="167" fontId="19" fillId="0" borderId="59" xfId="1" applyNumberFormat="1" applyFont="1" applyBorder="1" applyAlignment="1">
      <alignment horizontal="center"/>
    </xf>
    <xf numFmtId="167" fontId="19" fillId="0" borderId="82" xfId="1" applyNumberFormat="1" applyFont="1" applyBorder="1" applyAlignment="1">
      <alignment horizontal="center"/>
    </xf>
    <xf numFmtId="164" fontId="31" fillId="0" borderId="83" xfId="1" applyFont="1" applyBorder="1" applyAlignment="1" applyProtection="1">
      <alignment horizontal="center" vertical="center"/>
    </xf>
    <xf numFmtId="167" fontId="19" fillId="0" borderId="81" xfId="1" applyNumberFormat="1" applyFont="1" applyBorder="1" applyAlignment="1">
      <alignment horizontal="center"/>
    </xf>
    <xf numFmtId="167" fontId="19" fillId="0" borderId="83" xfId="1" applyNumberFormat="1" applyFont="1" applyBorder="1" applyAlignment="1">
      <alignment horizontal="center"/>
    </xf>
    <xf numFmtId="168" fontId="19" fillId="11" borderId="59" xfId="1" applyNumberFormat="1" applyFont="1" applyFill="1" applyBorder="1" applyAlignment="1" applyProtection="1">
      <alignment horizontal="center"/>
    </xf>
    <xf numFmtId="168" fontId="19" fillId="11" borderId="60" xfId="1" applyNumberFormat="1" applyFont="1" applyFill="1" applyBorder="1" applyAlignment="1" applyProtection="1">
      <alignment horizontal="center"/>
    </xf>
    <xf numFmtId="164" fontId="18" fillId="47" borderId="5" xfId="1" applyFill="1" applyBorder="1"/>
    <xf numFmtId="164" fontId="18" fillId="48" borderId="18" xfId="1" applyFill="1" applyBorder="1" applyAlignment="1">
      <alignment horizontal="center"/>
    </xf>
    <xf numFmtId="164" fontId="18" fillId="48" borderId="31" xfId="1" applyFill="1" applyBorder="1" applyAlignment="1">
      <alignment horizontal="center"/>
    </xf>
    <xf numFmtId="164" fontId="18" fillId="48" borderId="19" xfId="1" applyFill="1" applyBorder="1" applyAlignment="1">
      <alignment horizontal="center"/>
    </xf>
    <xf numFmtId="164" fontId="18" fillId="47" borderId="6" xfId="1" applyFill="1" applyBorder="1" applyAlignment="1">
      <alignment horizontal="center"/>
    </xf>
    <xf numFmtId="164" fontId="19" fillId="47" borderId="1" xfId="1" applyFont="1" applyFill="1" applyBorder="1" applyAlignment="1">
      <alignment horizontal="center"/>
    </xf>
    <xf numFmtId="164" fontId="19" fillId="47" borderId="3" xfId="1" applyFont="1" applyFill="1" applyBorder="1" applyAlignment="1">
      <alignment horizontal="center"/>
    </xf>
    <xf numFmtId="164" fontId="18" fillId="49" borderId="6" xfId="1" applyFill="1" applyBorder="1" applyAlignment="1">
      <alignment horizontal="center"/>
    </xf>
    <xf numFmtId="164" fontId="32" fillId="47" borderId="3" xfId="1" applyFont="1" applyFill="1" applyBorder="1" applyAlignment="1">
      <alignment horizontal="center"/>
    </xf>
    <xf numFmtId="164" fontId="19" fillId="47" borderId="2" xfId="1" applyFont="1" applyFill="1" applyBorder="1" applyAlignment="1">
      <alignment horizontal="center"/>
    </xf>
    <xf numFmtId="164" fontId="18" fillId="49" borderId="89" xfId="1" applyFill="1" applyBorder="1" applyProtection="1"/>
    <xf numFmtId="164" fontId="18" fillId="49" borderId="90" xfId="1" applyFill="1" applyBorder="1" applyProtection="1"/>
    <xf numFmtId="164" fontId="18" fillId="49" borderId="91" xfId="1" applyFill="1" applyBorder="1" applyProtection="1"/>
    <xf numFmtId="164" fontId="18" fillId="49" borderId="64" xfId="1" applyFill="1" applyBorder="1" applyAlignment="1">
      <alignment horizontal="center"/>
    </xf>
    <xf numFmtId="164" fontId="18" fillId="49" borderId="99" xfId="1" applyFill="1" applyBorder="1" applyAlignment="1">
      <alignment horizontal="center"/>
    </xf>
    <xf numFmtId="164" fontId="18" fillId="49" borderId="108" xfId="1" applyFill="1" applyBorder="1" applyAlignment="1">
      <alignment horizontal="center"/>
    </xf>
    <xf numFmtId="164" fontId="18" fillId="49" borderId="50" xfId="1" applyFill="1" applyBorder="1"/>
    <xf numFmtId="164" fontId="33" fillId="49" borderId="105" xfId="1" applyFont="1" applyFill="1" applyBorder="1" applyAlignment="1">
      <alignment horizontal="center"/>
    </xf>
    <xf numFmtId="164" fontId="18" fillId="49" borderId="52" xfId="1" applyFill="1" applyBorder="1"/>
    <xf numFmtId="164" fontId="19" fillId="49" borderId="106" xfId="1" applyFont="1" applyFill="1" applyBorder="1"/>
    <xf numFmtId="164" fontId="32" fillId="49" borderId="106" xfId="1" applyFont="1" applyFill="1" applyBorder="1" applyAlignment="1">
      <alignment horizontal="center"/>
    </xf>
    <xf numFmtId="164" fontId="18" fillId="49" borderId="54" xfId="1" applyFill="1" applyBorder="1"/>
    <xf numFmtId="164" fontId="19" fillId="49" borderId="107" xfId="1" applyFont="1" applyFill="1" applyBorder="1"/>
    <xf numFmtId="164" fontId="18" fillId="11" borderId="64" xfId="1" applyFill="1" applyBorder="1"/>
    <xf numFmtId="164" fontId="18" fillId="11" borderId="66" xfId="1" applyFill="1" applyBorder="1"/>
    <xf numFmtId="164" fontId="18" fillId="11" borderId="101" xfId="1" applyFill="1" applyBorder="1"/>
    <xf numFmtId="165" fontId="18" fillId="11" borderId="108" xfId="1" applyNumberFormat="1" applyFill="1" applyBorder="1" applyAlignment="1">
      <alignment horizontal="center"/>
    </xf>
    <xf numFmtId="165" fontId="18" fillId="11" borderId="109" xfId="1" applyNumberFormat="1" applyFill="1" applyBorder="1" applyAlignment="1">
      <alignment horizontal="center"/>
    </xf>
    <xf numFmtId="165" fontId="18" fillId="11" borderId="110" xfId="1" applyNumberFormat="1" applyFill="1" applyBorder="1" applyAlignment="1">
      <alignment horizontal="center"/>
    </xf>
    <xf numFmtId="165" fontId="18" fillId="11" borderId="14" xfId="1" applyNumberFormat="1" applyFill="1" applyBorder="1" applyAlignment="1">
      <alignment horizontal="center"/>
    </xf>
    <xf numFmtId="165" fontId="18" fillId="11" borderId="50" xfId="1" applyNumberFormat="1" applyFill="1" applyBorder="1" applyAlignment="1">
      <alignment horizontal="center"/>
    </xf>
    <xf numFmtId="165" fontId="18" fillId="11" borderId="52" xfId="1" applyNumberFormat="1" applyFill="1" applyBorder="1" applyAlignment="1">
      <alignment horizontal="center"/>
    </xf>
    <xf numFmtId="165" fontId="18" fillId="11" borderId="53" xfId="1" applyNumberFormat="1" applyFill="1" applyBorder="1" applyAlignment="1">
      <alignment horizontal="center"/>
    </xf>
    <xf numFmtId="165" fontId="18" fillId="11" borderId="54" xfId="1" applyNumberFormat="1" applyFill="1" applyBorder="1" applyAlignment="1">
      <alignment horizontal="center"/>
    </xf>
    <xf numFmtId="165" fontId="18" fillId="11" borderId="55" xfId="1" applyNumberFormat="1" applyFill="1" applyBorder="1" applyAlignment="1">
      <alignment horizontal="center"/>
    </xf>
    <xf numFmtId="0" fontId="8" fillId="0" borderId="14" xfId="4" applyFont="1" applyBorder="1"/>
    <xf numFmtId="0" fontId="34" fillId="14" borderId="16" xfId="4" applyFont="1" applyFill="1" applyBorder="1" applyAlignment="1">
      <alignment horizontal="center" vertical="center" wrapText="1"/>
    </xf>
    <xf numFmtId="0" fontId="34" fillId="14" borderId="17" xfId="4" applyFont="1" applyFill="1" applyBorder="1" applyAlignment="1">
      <alignment horizontal="center" vertical="center" wrapText="1"/>
    </xf>
    <xf numFmtId="0" fontId="34" fillId="33" borderId="17" xfId="4" applyFont="1" applyFill="1" applyBorder="1" applyAlignment="1">
      <alignment horizontal="center" vertical="center"/>
    </xf>
    <xf numFmtId="0" fontId="34" fillId="20" borderId="15" xfId="4" applyFont="1" applyFill="1" applyBorder="1" applyAlignment="1">
      <alignment horizontal="center" vertical="center"/>
    </xf>
    <xf numFmtId="0" fontId="34" fillId="20" borderId="17" xfId="4" applyFont="1" applyFill="1" applyBorder="1" applyAlignment="1">
      <alignment horizontal="center" vertical="center"/>
    </xf>
    <xf numFmtId="0" fontId="34" fillId="0" borderId="32" xfId="4" applyFont="1" applyBorder="1" applyAlignment="1">
      <alignment horizontal="center" vertical="center"/>
    </xf>
    <xf numFmtId="0" fontId="34" fillId="0" borderId="73" xfId="4" applyFont="1" applyBorder="1" applyAlignment="1">
      <alignment horizontal="center" vertical="center"/>
    </xf>
    <xf numFmtId="0" fontId="34" fillId="0" borderId="63" xfId="4" applyFont="1" applyBorder="1" applyAlignment="1">
      <alignment horizontal="center" vertical="center"/>
    </xf>
    <xf numFmtId="0" fontId="7" fillId="0" borderId="14" xfId="4" applyFont="1" applyBorder="1"/>
    <xf numFmtId="0" fontId="34" fillId="14" borderId="15" xfId="4" applyFont="1" applyFill="1" applyBorder="1" applyAlignment="1">
      <alignment horizontal="left" vertical="center"/>
    </xf>
    <xf numFmtId="0" fontId="34" fillId="33" borderId="15" xfId="4" applyFont="1" applyFill="1" applyBorder="1" applyAlignment="1">
      <alignment horizontal="left" vertical="center"/>
    </xf>
    <xf numFmtId="0" fontId="6" fillId="0" borderId="14" xfId="4" applyFont="1" applyBorder="1"/>
    <xf numFmtId="164" fontId="18" fillId="50" borderId="12" xfId="1" applyFill="1" applyBorder="1"/>
    <xf numFmtId="164" fontId="18" fillId="51" borderId="12" xfId="1" applyFill="1" applyBorder="1"/>
    <xf numFmtId="165" fontId="18" fillId="0" borderId="86" xfId="1" applyNumberFormat="1" applyBorder="1" applyAlignment="1" applyProtection="1">
      <alignment horizontal="center"/>
    </xf>
    <xf numFmtId="164" fontId="18" fillId="0" borderId="69" xfId="1" applyBorder="1" applyAlignment="1" applyProtection="1">
      <alignment horizontal="center"/>
    </xf>
    <xf numFmtId="164" fontId="18" fillId="0" borderId="70" xfId="1" applyBorder="1" applyAlignment="1" applyProtection="1">
      <alignment horizontal="center"/>
    </xf>
    <xf numFmtId="164" fontId="18" fillId="48" borderId="66" xfId="1" applyFill="1" applyBorder="1"/>
    <xf numFmtId="164" fontId="18" fillId="0" borderId="87" xfId="1" applyBorder="1" applyAlignment="1">
      <alignment horizontal="center"/>
    </xf>
    <xf numFmtId="164" fontId="18" fillId="52" borderId="66" xfId="1" applyFill="1" applyBorder="1"/>
    <xf numFmtId="164" fontId="18" fillId="41" borderId="100" xfId="1" applyFill="1" applyBorder="1"/>
    <xf numFmtId="164" fontId="18" fillId="53" borderId="50" xfId="1" applyFill="1" applyBorder="1"/>
    <xf numFmtId="164" fontId="18" fillId="53" borderId="52" xfId="1" applyFill="1" applyBorder="1"/>
    <xf numFmtId="164" fontId="18" fillId="53" borderId="56" xfId="1" applyFill="1" applyBorder="1"/>
    <xf numFmtId="164" fontId="18" fillId="53" borderId="58" xfId="1" applyFill="1" applyBorder="1"/>
    <xf numFmtId="164" fontId="18" fillId="53" borderId="71" xfId="1" applyFill="1" applyBorder="1"/>
    <xf numFmtId="165" fontId="18" fillId="53" borderId="8" xfId="1" applyNumberFormat="1" applyFill="1" applyBorder="1" applyAlignment="1">
      <alignment horizontal="center"/>
    </xf>
    <xf numFmtId="165" fontId="18" fillId="53" borderId="3" xfId="1" applyNumberFormat="1" applyFill="1" applyBorder="1" applyAlignment="1" applyProtection="1">
      <alignment horizontal="center"/>
    </xf>
    <xf numFmtId="165" fontId="18" fillId="53" borderId="3" xfId="1" applyNumberFormat="1" applyFill="1" applyBorder="1" applyAlignment="1">
      <alignment horizontal="center"/>
    </xf>
    <xf numFmtId="165" fontId="18" fillId="53" borderId="94" xfId="1" applyNumberFormat="1" applyFill="1" applyBorder="1" applyAlignment="1">
      <alignment horizontal="center"/>
    </xf>
    <xf numFmtId="165" fontId="18" fillId="53" borderId="89" xfId="1" applyNumberFormat="1" applyFill="1" applyBorder="1" applyAlignment="1">
      <alignment horizontal="center"/>
    </xf>
    <xf numFmtId="165" fontId="18" fillId="53" borderId="90" xfId="1" applyNumberFormat="1" applyFill="1" applyBorder="1" applyAlignment="1">
      <alignment horizontal="center"/>
    </xf>
    <xf numFmtId="165" fontId="18" fillId="53" borderId="92" xfId="1" applyNumberFormat="1" applyFill="1" applyBorder="1" applyAlignment="1">
      <alignment horizontal="center"/>
    </xf>
    <xf numFmtId="165" fontId="18" fillId="53" borderId="83" xfId="1" applyNumberFormat="1" applyFill="1" applyBorder="1" applyAlignment="1">
      <alignment horizontal="center"/>
    </xf>
    <xf numFmtId="165" fontId="18" fillId="53" borderId="121" xfId="1" applyNumberFormat="1" applyFill="1" applyBorder="1" applyAlignment="1">
      <alignment horizontal="center"/>
    </xf>
    <xf numFmtId="164" fontId="18" fillId="51" borderId="50" xfId="1" applyFill="1" applyBorder="1"/>
    <xf numFmtId="164" fontId="18" fillId="51" borderId="52" xfId="1" applyFill="1" applyBorder="1"/>
    <xf numFmtId="164" fontId="18" fillId="51" borderId="56" xfId="1" applyFill="1" applyBorder="1"/>
    <xf numFmtId="164" fontId="18" fillId="51" borderId="58" xfId="1" applyFill="1" applyBorder="1"/>
    <xf numFmtId="164" fontId="18" fillId="51" borderId="71" xfId="1" applyFill="1" applyBorder="1"/>
    <xf numFmtId="165" fontId="18" fillId="51" borderId="8" xfId="1" applyNumberFormat="1" applyFill="1" applyBorder="1" applyAlignment="1">
      <alignment horizontal="center"/>
    </xf>
    <xf numFmtId="165" fontId="18" fillId="51" borderId="3" xfId="1" applyNumberFormat="1" applyFill="1" applyBorder="1" applyAlignment="1" applyProtection="1">
      <alignment horizontal="center"/>
    </xf>
    <xf numFmtId="165" fontId="18" fillId="51" borderId="3" xfId="1" applyNumberFormat="1" applyFill="1" applyBorder="1" applyAlignment="1">
      <alignment horizontal="center"/>
    </xf>
    <xf numFmtId="165" fontId="18" fillId="51" borderId="94" xfId="1" applyNumberFormat="1" applyFill="1" applyBorder="1" applyAlignment="1">
      <alignment horizontal="center"/>
    </xf>
    <xf numFmtId="165" fontId="18" fillId="51" borderId="89" xfId="1" applyNumberFormat="1" applyFill="1" applyBorder="1" applyAlignment="1">
      <alignment horizontal="center"/>
    </xf>
    <xf numFmtId="165" fontId="18" fillId="51" borderId="90" xfId="1" applyNumberFormat="1" applyFill="1" applyBorder="1" applyAlignment="1">
      <alignment horizontal="center"/>
    </xf>
    <xf numFmtId="165" fontId="18" fillId="51" borderId="92" xfId="1" applyNumberFormat="1" applyFill="1" applyBorder="1" applyAlignment="1">
      <alignment horizontal="center"/>
    </xf>
    <xf numFmtId="165" fontId="18" fillId="51" borderId="83" xfId="1" applyNumberFormat="1" applyFill="1" applyBorder="1" applyAlignment="1">
      <alignment horizontal="center"/>
    </xf>
    <xf numFmtId="165" fontId="18" fillId="51" borderId="121" xfId="1" applyNumberFormat="1" applyFill="1" applyBorder="1" applyAlignment="1">
      <alignment horizontal="center"/>
    </xf>
    <xf numFmtId="164" fontId="18" fillId="54" borderId="64" xfId="1" applyFill="1" applyBorder="1" applyProtection="1"/>
    <xf numFmtId="164" fontId="18" fillId="54" borderId="66" xfId="1" applyFill="1" applyBorder="1" applyProtection="1"/>
    <xf numFmtId="164" fontId="18" fillId="54" borderId="101" xfId="1" applyFill="1" applyBorder="1" applyProtection="1"/>
    <xf numFmtId="165" fontId="18" fillId="54" borderId="111" xfId="1" applyNumberFormat="1" applyFill="1" applyBorder="1" applyAlignment="1">
      <alignment horizontal="center"/>
    </xf>
    <xf numFmtId="165" fontId="18" fillId="54" borderId="25" xfId="1" applyNumberFormat="1" applyFill="1" applyBorder="1" applyAlignment="1">
      <alignment horizontal="center"/>
    </xf>
    <xf numFmtId="165" fontId="18" fillId="54" borderId="103" xfId="1" applyNumberFormat="1" applyFill="1" applyBorder="1" applyAlignment="1">
      <alignment horizontal="center"/>
    </xf>
    <xf numFmtId="165" fontId="18" fillId="54" borderId="108" xfId="1" applyNumberFormat="1" applyFill="1" applyBorder="1" applyAlignment="1">
      <alignment horizontal="center"/>
    </xf>
    <xf numFmtId="165" fontId="18" fillId="54" borderId="109" xfId="1" applyNumberFormat="1" applyFill="1" applyBorder="1" applyAlignment="1">
      <alignment horizontal="center"/>
    </xf>
    <xf numFmtId="165" fontId="18" fillId="54" borderId="110" xfId="1" applyNumberFormat="1" applyFill="1" applyBorder="1" applyAlignment="1">
      <alignment horizontal="center"/>
    </xf>
    <xf numFmtId="164" fontId="18" fillId="16" borderId="64" xfId="1" applyFill="1" applyBorder="1" applyProtection="1"/>
    <xf numFmtId="164" fontId="18" fillId="16" borderId="66" xfId="1" applyFill="1" applyBorder="1" applyProtection="1"/>
    <xf numFmtId="164" fontId="18" fillId="16" borderId="101" xfId="1" applyFill="1" applyBorder="1" applyProtection="1"/>
    <xf numFmtId="165" fontId="18" fillId="16" borderId="111" xfId="1" applyNumberFormat="1" applyFill="1" applyBorder="1" applyAlignment="1">
      <alignment horizontal="center"/>
    </xf>
    <xf numFmtId="165" fontId="18" fillId="16" borderId="25" xfId="1" applyNumberFormat="1" applyFill="1" applyBorder="1" applyAlignment="1">
      <alignment horizontal="center"/>
    </xf>
    <xf numFmtId="165" fontId="18" fillId="16" borderId="103" xfId="1" applyNumberFormat="1" applyFill="1" applyBorder="1" applyAlignment="1">
      <alignment horizontal="center"/>
    </xf>
    <xf numFmtId="165" fontId="18" fillId="16" borderId="108" xfId="1" applyNumberFormat="1" applyFill="1" applyBorder="1" applyAlignment="1">
      <alignment horizontal="center"/>
    </xf>
    <xf numFmtId="165" fontId="18" fillId="16" borderId="109" xfId="1" applyNumberFormat="1" applyFill="1" applyBorder="1" applyAlignment="1">
      <alignment horizontal="center"/>
    </xf>
    <xf numFmtId="165" fontId="18" fillId="16" borderId="110" xfId="1" applyNumberFormat="1" applyFill="1" applyBorder="1" applyAlignment="1">
      <alignment horizontal="center"/>
    </xf>
    <xf numFmtId="164" fontId="18" fillId="51" borderId="5" xfId="1" applyFill="1" applyBorder="1"/>
    <xf numFmtId="164" fontId="18" fillId="41" borderId="18" xfId="1" applyFill="1" applyBorder="1" applyAlignment="1">
      <alignment horizontal="center"/>
    </xf>
    <xf numFmtId="164" fontId="18" fillId="41" borderId="31" xfId="1" applyFill="1" applyBorder="1" applyAlignment="1">
      <alignment horizontal="center"/>
    </xf>
    <xf numFmtId="164" fontId="18" fillId="41" borderId="19" xfId="1" applyFill="1" applyBorder="1" applyAlignment="1">
      <alignment horizontal="center"/>
    </xf>
    <xf numFmtId="164" fontId="18" fillId="51" borderId="6" xfId="1" applyFill="1" applyBorder="1" applyAlignment="1">
      <alignment horizontal="center"/>
    </xf>
    <xf numFmtId="164" fontId="19" fillId="51" borderId="1" xfId="1" applyFont="1" applyFill="1" applyBorder="1" applyAlignment="1">
      <alignment horizontal="center"/>
    </xf>
    <xf numFmtId="164" fontId="19" fillId="51" borderId="3" xfId="1" applyFont="1" applyFill="1" applyBorder="1" applyAlignment="1">
      <alignment horizontal="center"/>
    </xf>
    <xf numFmtId="164" fontId="32" fillId="51" borderId="3" xfId="1" applyFont="1" applyFill="1" applyBorder="1" applyAlignment="1">
      <alignment horizontal="center"/>
    </xf>
    <xf numFmtId="164" fontId="19" fillId="51" borderId="2" xfId="1" applyFont="1" applyFill="1" applyBorder="1" applyAlignment="1">
      <alignment horizontal="center"/>
    </xf>
    <xf numFmtId="164" fontId="18" fillId="53" borderId="5" xfId="1" applyFill="1" applyBorder="1"/>
    <xf numFmtId="164" fontId="18" fillId="52" borderId="18" xfId="1" applyFill="1" applyBorder="1" applyAlignment="1">
      <alignment horizontal="center"/>
    </xf>
    <xf numFmtId="164" fontId="18" fillId="52" borderId="31" xfId="1" applyFill="1" applyBorder="1" applyAlignment="1">
      <alignment horizontal="center"/>
    </xf>
    <xf numFmtId="164" fontId="18" fillId="52" borderId="19" xfId="1" applyFill="1" applyBorder="1" applyAlignment="1">
      <alignment horizontal="center"/>
    </xf>
    <xf numFmtId="164" fontId="18" fillId="53" borderId="6" xfId="1" applyFill="1" applyBorder="1" applyAlignment="1">
      <alignment horizontal="center"/>
    </xf>
    <xf numFmtId="164" fontId="19" fillId="53" borderId="1" xfId="1" applyFont="1" applyFill="1" applyBorder="1" applyAlignment="1">
      <alignment horizontal="center"/>
    </xf>
    <xf numFmtId="164" fontId="19" fillId="53" borderId="3" xfId="1" applyFont="1" applyFill="1" applyBorder="1" applyAlignment="1">
      <alignment horizontal="center"/>
    </xf>
    <xf numFmtId="164" fontId="18" fillId="54" borderId="6" xfId="1" applyFill="1" applyBorder="1" applyAlignment="1">
      <alignment horizontal="center"/>
    </xf>
    <xf numFmtId="164" fontId="32" fillId="53" borderId="3" xfId="1" applyFont="1" applyFill="1" applyBorder="1" applyAlignment="1">
      <alignment horizontal="center"/>
    </xf>
    <xf numFmtId="164" fontId="19" fillId="53" borderId="2" xfId="1" applyFont="1" applyFill="1" applyBorder="1" applyAlignment="1">
      <alignment horizontal="center"/>
    </xf>
    <xf numFmtId="164" fontId="18" fillId="54" borderId="89" xfId="1" applyFill="1" applyBorder="1" applyProtection="1"/>
    <xf numFmtId="164" fontId="18" fillId="54" borderId="90" xfId="1" applyFill="1" applyBorder="1" applyProtection="1"/>
    <xf numFmtId="164" fontId="18" fillId="54" borderId="91" xfId="1" applyFill="1" applyBorder="1" applyProtection="1"/>
    <xf numFmtId="164" fontId="18" fillId="54" borderId="64" xfId="1" applyFill="1" applyBorder="1" applyAlignment="1">
      <alignment horizontal="center"/>
    </xf>
    <xf numFmtId="164" fontId="18" fillId="54" borderId="99" xfId="1" applyFill="1" applyBorder="1" applyAlignment="1">
      <alignment horizontal="center"/>
    </xf>
    <xf numFmtId="164" fontId="18" fillId="54" borderId="108" xfId="1" applyFill="1" applyBorder="1" applyAlignment="1">
      <alignment horizontal="center"/>
    </xf>
    <xf numFmtId="164" fontId="18" fillId="54" borderId="50" xfId="1" applyFill="1" applyBorder="1"/>
    <xf numFmtId="164" fontId="33" fillId="54" borderId="105" xfId="1" applyFont="1" applyFill="1" applyBorder="1" applyAlignment="1">
      <alignment horizontal="center"/>
    </xf>
    <xf numFmtId="164" fontId="18" fillId="54" borderId="52" xfId="1" applyFill="1" applyBorder="1"/>
    <xf numFmtId="164" fontId="19" fillId="54" borderId="106" xfId="1" applyFont="1" applyFill="1" applyBorder="1"/>
    <xf numFmtId="164" fontId="32" fillId="54" borderId="106" xfId="1" applyFont="1" applyFill="1" applyBorder="1" applyAlignment="1">
      <alignment horizontal="center"/>
    </xf>
    <xf numFmtId="164" fontId="18" fillId="54" borderId="54" xfId="1" applyFill="1" applyBorder="1"/>
    <xf numFmtId="164" fontId="19" fillId="54" borderId="107" xfId="1" applyFont="1" applyFill="1" applyBorder="1"/>
    <xf numFmtId="164" fontId="18" fillId="16" borderId="89" xfId="1" applyFill="1" applyBorder="1" applyProtection="1"/>
    <xf numFmtId="164" fontId="18" fillId="16" borderId="90" xfId="1" applyFill="1" applyBorder="1" applyProtection="1"/>
    <xf numFmtId="164" fontId="18" fillId="16" borderId="91" xfId="1" applyFill="1" applyBorder="1" applyProtection="1"/>
    <xf numFmtId="164" fontId="18" fillId="16" borderId="64" xfId="1" applyFill="1" applyBorder="1" applyAlignment="1">
      <alignment horizontal="center"/>
    </xf>
    <xf numFmtId="164" fontId="18" fillId="16" borderId="99" xfId="1" applyFill="1" applyBorder="1" applyAlignment="1">
      <alignment horizontal="center"/>
    </xf>
    <xf numFmtId="164" fontId="18" fillId="16" borderId="108" xfId="1" applyFill="1" applyBorder="1" applyAlignment="1">
      <alignment horizontal="center"/>
    </xf>
    <xf numFmtId="164" fontId="18" fillId="16" borderId="50" xfId="1" applyFill="1" applyBorder="1"/>
    <xf numFmtId="164" fontId="33" fillId="16" borderId="105" xfId="1" applyFont="1" applyFill="1" applyBorder="1" applyAlignment="1">
      <alignment horizontal="center"/>
    </xf>
    <xf numFmtId="164" fontId="19" fillId="16" borderId="106" xfId="1" applyFont="1" applyFill="1" applyBorder="1"/>
    <xf numFmtId="164" fontId="32" fillId="16" borderId="106" xfId="1" applyFont="1" applyFill="1" applyBorder="1" applyAlignment="1">
      <alignment horizontal="center"/>
    </xf>
    <xf numFmtId="164" fontId="18" fillId="16" borderId="54" xfId="1" applyFill="1" applyBorder="1"/>
    <xf numFmtId="164" fontId="19" fillId="16" borderId="107" xfId="1" applyFont="1" applyFill="1" applyBorder="1"/>
    <xf numFmtId="0" fontId="5" fillId="0" borderId="14" xfId="4" applyFont="1" applyBorder="1"/>
    <xf numFmtId="0" fontId="6" fillId="0" borderId="14" xfId="4" applyFont="1" applyBorder="1" applyAlignment="1">
      <alignment vertical="center"/>
    </xf>
    <xf numFmtId="0" fontId="14" fillId="0" borderId="14" xfId="4" applyFont="1" applyBorder="1" applyAlignment="1">
      <alignment vertical="center"/>
    </xf>
    <xf numFmtId="0" fontId="4" fillId="0" borderId="14" xfId="4" applyFont="1" applyBorder="1" applyAlignment="1">
      <alignment vertical="center"/>
    </xf>
    <xf numFmtId="0" fontId="4" fillId="0" borderId="14" xfId="4" applyFont="1" applyBorder="1"/>
    <xf numFmtId="0" fontId="3" fillId="0" borderId="14" xfId="4" applyFont="1" applyBorder="1" applyAlignment="1">
      <alignment vertical="center"/>
    </xf>
    <xf numFmtId="0" fontId="3" fillId="0" borderId="14" xfId="4" applyFont="1" applyBorder="1" applyAlignment="1">
      <alignment horizontal="left"/>
    </xf>
    <xf numFmtId="0" fontId="2" fillId="0" borderId="14" xfId="4" applyFont="1" applyBorder="1"/>
    <xf numFmtId="0" fontId="2" fillId="0" borderId="14" xfId="4" applyFont="1" applyBorder="1" applyAlignment="1">
      <alignment vertical="center"/>
    </xf>
    <xf numFmtId="0" fontId="1" fillId="0" borderId="14" xfId="4" applyFont="1" applyBorder="1"/>
    <xf numFmtId="0" fontId="1" fillId="0" borderId="0" xfId="4" applyFont="1"/>
    <xf numFmtId="164" fontId="28" fillId="0" borderId="0" xfId="1" applyFont="1" applyBorder="1" applyAlignment="1">
      <alignment horizontal="left"/>
    </xf>
    <xf numFmtId="169" fontId="18" fillId="28" borderId="81" xfId="2" applyNumberFormat="1" applyFont="1" applyFill="1" applyBorder="1" applyAlignment="1">
      <alignment horizontal="center"/>
    </xf>
    <xf numFmtId="169" fontId="18" fillId="28" borderId="73" xfId="2" applyNumberFormat="1" applyFont="1" applyFill="1" applyBorder="1" applyAlignment="1">
      <alignment horizontal="center"/>
    </xf>
    <xf numFmtId="169" fontId="18" fillId="28" borderId="82" xfId="2" applyNumberFormat="1" applyFont="1" applyFill="1" applyBorder="1" applyAlignment="1">
      <alignment horizontal="center"/>
    </xf>
    <xf numFmtId="0" fontId="34" fillId="0" borderId="0" xfId="4" applyFont="1" applyAlignment="1">
      <alignment horizontal="center"/>
    </xf>
    <xf numFmtId="0" fontId="34" fillId="0" borderId="21" xfId="4" applyFont="1" applyBorder="1" applyAlignment="1">
      <alignment horizontal="center"/>
    </xf>
    <xf numFmtId="0" fontId="34" fillId="14" borderId="24" xfId="4" applyFont="1" applyFill="1" applyBorder="1" applyAlignment="1">
      <alignment horizontal="center" vertical="center" wrapText="1"/>
    </xf>
    <xf numFmtId="0" fontId="34" fillId="33" borderId="24" xfId="4" applyFont="1" applyFill="1" applyBorder="1" applyAlignment="1">
      <alignment horizontal="center"/>
    </xf>
    <xf numFmtId="0" fontId="34" fillId="20" borderId="24" xfId="4" applyFont="1" applyFill="1" applyBorder="1" applyAlignment="1">
      <alignment horizontal="center" vertical="center"/>
    </xf>
    <xf numFmtId="0" fontId="34" fillId="0" borderId="61" xfId="4" applyFont="1" applyBorder="1" applyAlignment="1">
      <alignment horizontal="center"/>
    </xf>
    <xf numFmtId="0" fontId="34" fillId="0" borderId="62" xfId="4" applyFont="1" applyBorder="1" applyAlignment="1">
      <alignment horizontal="center"/>
    </xf>
    <xf numFmtId="0" fontId="34" fillId="0" borderId="105" xfId="4" applyFont="1" applyBorder="1" applyAlignment="1">
      <alignment horizontal="center"/>
    </xf>
  </cellXfs>
  <cellStyles count="5">
    <cellStyle name="Excel Built-in Normal" xfId="1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Porcentaje" xfId="2" builtinId="5"/>
  </cellStyles>
  <dxfs count="79"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theme="5"/>
        </patternFill>
      </fill>
    </dxf>
    <dxf>
      <font>
        <b/>
        <i val="0"/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0000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1" u="sng" strike="noStrike" kern="1200" cap="none" spc="20" baseline="0">
                <a:solidFill>
                  <a:srgbClr val="7F7F7F"/>
                </a:solidFill>
                <a:latin typeface="Calibri"/>
              </a:defRPr>
            </a:pPr>
            <a:r>
              <a:rPr lang="en-US" sz="1800" b="1" i="1" u="sng" strike="noStrike" kern="1200" cap="none" spc="20" baseline="0">
                <a:solidFill>
                  <a:srgbClr val="7F7F7F"/>
                </a:solidFill>
                <a:uFillTx/>
                <a:latin typeface="Calibri"/>
              </a:rPr>
              <a:t>CUMPLIMIENTO DE PLAN DE PRODUCCIÓN</a:t>
            </a:r>
            <a:br>
              <a:rPr lang="en-US" sz="1800" b="1" i="1" u="sng" strike="noStrike" kern="1200" cap="none" spc="20" baseline="0">
                <a:solidFill>
                  <a:srgbClr val="7F7F7F"/>
                </a:solidFill>
                <a:uFillTx/>
                <a:latin typeface="Calibri"/>
              </a:rPr>
            </a:br>
            <a:endParaRPr lang="en-US" sz="1800" b="1" i="1" u="sng" strike="noStrike" kern="1200" cap="none" spc="20" baseline="0">
              <a:solidFill>
                <a:srgbClr val="7F7F7F"/>
              </a:solidFill>
              <a:uFillTx/>
              <a:latin typeface="Calibri"/>
            </a:endParaRP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970417021881708E-2"/>
          <c:y val="0.12913727747425732"/>
          <c:w val="0.91498050616787208"/>
          <c:h val="0.77782454254622235"/>
        </c:manualLayout>
      </c:layout>
      <c:areaChart>
        <c:grouping val="standard"/>
        <c:varyColors val="0"/>
        <c:ser>
          <c:idx val="0"/>
          <c:order val="0"/>
          <c:tx>
            <c:v>Total Plan</c:v>
          </c:tx>
          <c:cat>
            <c:numRef>
              <c:f>'Plan - Semanal'!$C$108:$I$108</c:f>
              <c:numCache>
                <c:formatCode>ddd\-dd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'Plan - Semanal'!$C$328:$I$328</c:f>
              <c:numCache>
                <c:formatCode>[$-2C0A]0</c:formatCode>
                <c:ptCount val="7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1900</c:v>
                </c:pt>
                <c:pt idx="5">
                  <c:v>700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B-45BC-A137-C8D902EDE47F}"/>
            </c:ext>
          </c:extLst>
        </c:ser>
        <c:ser>
          <c:idx val="1"/>
          <c:order val="1"/>
          <c:tx>
            <c:v>Total Real</c:v>
          </c:tx>
          <c:spPr>
            <a:ln w="25400">
              <a:noFill/>
            </a:ln>
          </c:spPr>
          <c:cat>
            <c:numRef>
              <c:f>'Plan - Semanal'!$C$108:$I$108</c:f>
              <c:numCache>
                <c:formatCode>ddd\-dd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'Plan - Semanal'!$C$329:$I$329</c:f>
              <c:numCache>
                <c:formatCode>[$-2C0A]0</c:formatCode>
                <c:ptCount val="7"/>
                <c:pt idx="0">
                  <c:v>1867</c:v>
                </c:pt>
                <c:pt idx="1">
                  <c:v>1537</c:v>
                </c:pt>
                <c:pt idx="2">
                  <c:v>1607</c:v>
                </c:pt>
                <c:pt idx="3">
                  <c:v>1814</c:v>
                </c:pt>
                <c:pt idx="4">
                  <c:v>1888</c:v>
                </c:pt>
                <c:pt idx="5">
                  <c:v>700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B-45BC-A137-C8D902EDE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864376"/>
        <c:axId val="434857016"/>
      </c:areaChart>
      <c:valAx>
        <c:axId val="434857016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[$-2C0A]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7F7F7F"/>
                </a:solidFill>
                <a:latin typeface="Calibri"/>
              </a:defRPr>
            </a:pPr>
            <a:endParaRPr lang="es-AR"/>
          </a:p>
        </c:txPr>
        <c:crossAx val="434864376"/>
        <c:crossesAt val="44368"/>
        <c:crossBetween val="midCat"/>
      </c:valAx>
      <c:dateAx>
        <c:axId val="434864376"/>
        <c:scaling>
          <c:orientation val="minMax"/>
        </c:scaling>
        <c:delete val="0"/>
        <c:axPos val="b"/>
        <c:numFmt formatCode="ddd\-dd/mmm" sourceLinked="0"/>
        <c:majorTickMark val="out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7F7F7F"/>
                </a:solidFill>
                <a:latin typeface="Calibri"/>
              </a:defRPr>
            </a:pPr>
            <a:endParaRPr lang="es-AR"/>
          </a:p>
        </c:txPr>
        <c:crossAx val="434857016"/>
        <c:crosses val="autoZero"/>
        <c:auto val="0"/>
        <c:lblOffset val="100"/>
        <c:baseTimeUnit val="days"/>
      </c:date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7F7F7F"/>
              </a:solidFill>
              <a:latin typeface="Calibri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s-ES" sz="900" b="0" i="0" u="none" strike="noStrike" kern="1200" baseline="0">
          <a:solidFill>
            <a:srgbClr val="000000"/>
          </a:solidFill>
          <a:latin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561976</xdr:colOff>
      <xdr:row>0</xdr:row>
      <xdr:rowOff>62261</xdr:rowOff>
    </xdr:from>
    <xdr:to>
      <xdr:col>10</xdr:col>
      <xdr:colOff>615949</xdr:colOff>
      <xdr:row>6</xdr:row>
      <xdr:rowOff>29173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B782328-F63C-4C82-BF51-5B3EDEB57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1" y="62261"/>
          <a:ext cx="1187449" cy="1045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766" cy="62891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F4234D-82F2-42BC-AFC4-908D13EB1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496"/>
  <sheetViews>
    <sheetView tabSelected="1" zoomScale="110" zoomScaleNormal="110" zoomScalePageLayoutView="90" workbookViewId="0">
      <pane xSplit="2" ySplit="8" topLeftCell="C373" activePane="bottomRight" state="frozen"/>
      <selection pane="topRight" activeCell="C1" sqref="C1"/>
      <selection pane="bottomLeft" activeCell="A9" sqref="A9"/>
      <selection pane="bottomRight" activeCell="N489" sqref="N489"/>
    </sheetView>
  </sheetViews>
  <sheetFormatPr baseColWidth="10" defaultColWidth="8.625" defaultRowHeight="15" x14ac:dyDescent="0.25"/>
  <cols>
    <col min="1" max="1" width="2.25" style="1" customWidth="1"/>
    <col min="2" max="2" width="34" style="1" customWidth="1"/>
    <col min="3" max="3" width="7.125" style="1" customWidth="1"/>
    <col min="4" max="4" width="8.25" style="1" bestFit="1" customWidth="1"/>
    <col min="5" max="9" width="7.125" style="1" customWidth="1"/>
    <col min="10" max="10" width="7" style="1" customWidth="1"/>
    <col min="11" max="11" width="8.375" style="1" customWidth="1"/>
    <col min="12" max="12" width="8.5" style="1" customWidth="1"/>
    <col min="13" max="15" width="9.125" style="1" customWidth="1"/>
    <col min="16" max="1024" width="7.75" style="1" customWidth="1"/>
    <col min="1025" max="1025" width="8.625" customWidth="1"/>
  </cols>
  <sheetData>
    <row r="1" spans="2:16" s="1" customFormat="1" x14ac:dyDescent="0.25">
      <c r="B1" s="3"/>
      <c r="C1" s="8"/>
      <c r="D1" s="8"/>
      <c r="E1" s="8"/>
      <c r="F1" s="8"/>
      <c r="G1" s="8"/>
      <c r="H1" s="8"/>
      <c r="I1" s="2"/>
      <c r="J1" s="2"/>
      <c r="K1" s="6"/>
      <c r="L1" s="6"/>
    </row>
    <row r="2" spans="2:16" s="1" customFormat="1" ht="21" x14ac:dyDescent="0.35">
      <c r="B2" s="1057" t="s">
        <v>0</v>
      </c>
      <c r="C2" s="1057"/>
      <c r="L2" s="2"/>
      <c r="M2" s="167"/>
      <c r="N2" s="167"/>
    </row>
    <row r="3" spans="2:16" s="1" customFormat="1" ht="3" customHeight="1" x14ac:dyDescent="0.3">
      <c r="D3" s="11"/>
      <c r="E3" s="11"/>
      <c r="F3" s="11"/>
      <c r="L3" s="2"/>
      <c r="M3" s="167"/>
      <c r="N3" s="167"/>
    </row>
    <row r="4" spans="2:16" s="1" customFormat="1" ht="18.75" x14ac:dyDescent="0.3">
      <c r="B4" s="80" t="s">
        <v>16</v>
      </c>
      <c r="D4" s="79" t="s">
        <v>17</v>
      </c>
      <c r="E4" s="73">
        <v>0</v>
      </c>
      <c r="F4" s="74"/>
      <c r="L4" s="2"/>
      <c r="M4" s="167"/>
      <c r="N4" s="167"/>
    </row>
    <row r="5" spans="2:16" s="1" customFormat="1" ht="10.15" customHeight="1" thickBot="1" x14ac:dyDescent="0.35">
      <c r="B5" s="11"/>
      <c r="C5" s="11"/>
      <c r="D5" s="48" t="s">
        <v>15</v>
      </c>
      <c r="E5" s="48" t="s">
        <v>14</v>
      </c>
      <c r="G5" s="75"/>
      <c r="H5" s="75"/>
      <c r="I5" s="77"/>
      <c r="J5" s="78"/>
      <c r="K5" s="78"/>
      <c r="L5" s="2"/>
    </row>
    <row r="6" spans="2:16" s="1" customFormat="1" ht="19.5" thickBot="1" x14ac:dyDescent="0.35">
      <c r="B6" s="76" t="s">
        <v>18</v>
      </c>
      <c r="C6" s="68">
        <f>_xlfn.ISOWEEKNUM(D6)</f>
        <v>7</v>
      </c>
      <c r="D6" s="49">
        <v>46062</v>
      </c>
      <c r="E6" s="69">
        <f>D6+6</f>
        <v>46068</v>
      </c>
      <c r="G6" s="75"/>
      <c r="H6" s="75"/>
      <c r="I6" s="77"/>
      <c r="J6" s="78"/>
      <c r="K6" s="78"/>
      <c r="L6" s="2"/>
      <c r="M6" s="717" t="s">
        <v>221</v>
      </c>
      <c r="N6" s="718" t="s">
        <v>222</v>
      </c>
      <c r="O6" s="719" t="s">
        <v>223</v>
      </c>
    </row>
    <row r="7" spans="2:16" s="1" customFormat="1" ht="3" customHeight="1" thickBot="1" x14ac:dyDescent="0.35">
      <c r="B7" s="75"/>
      <c r="C7" s="77"/>
      <c r="D7" s="78"/>
      <c r="E7" s="78"/>
      <c r="G7" s="75"/>
      <c r="H7" s="75"/>
      <c r="I7" s="77"/>
      <c r="J7" s="78"/>
      <c r="K7" s="78"/>
      <c r="L7" s="2"/>
      <c r="M7" s="167"/>
      <c r="N7" s="167"/>
    </row>
    <row r="8" spans="2:16" s="1" customFormat="1" ht="15.75" thickBot="1" x14ac:dyDescent="0.3">
      <c r="B8" s="10"/>
      <c r="C8" s="50">
        <f>D6</f>
        <v>46062</v>
      </c>
      <c r="D8" s="50">
        <f>C8+1</f>
        <v>46063</v>
      </c>
      <c r="E8" s="50">
        <f t="shared" ref="E8:J8" si="0">D8+1</f>
        <v>46064</v>
      </c>
      <c r="F8" s="50">
        <f t="shared" si="0"/>
        <v>46065</v>
      </c>
      <c r="G8" s="50">
        <f t="shared" si="0"/>
        <v>46066</v>
      </c>
      <c r="H8" s="50">
        <f t="shared" si="0"/>
        <v>46067</v>
      </c>
      <c r="I8" s="50">
        <f t="shared" si="0"/>
        <v>46068</v>
      </c>
      <c r="J8" s="50">
        <f t="shared" si="0"/>
        <v>46069</v>
      </c>
      <c r="K8" s="4" t="s">
        <v>1</v>
      </c>
      <c r="L8" s="2"/>
      <c r="M8" s="711">
        <f>C6+1</f>
        <v>8</v>
      </c>
      <c r="N8" s="712">
        <f>+M8+1</f>
        <v>9</v>
      </c>
      <c r="O8" s="713">
        <f>+N8+1</f>
        <v>10</v>
      </c>
      <c r="P8" s="725" t="s">
        <v>224</v>
      </c>
    </row>
    <row r="9" spans="2:16" s="1" customFormat="1" x14ac:dyDescent="0.25">
      <c r="B9" s="177" t="s">
        <v>121</v>
      </c>
      <c r="C9" s="178">
        <v>0</v>
      </c>
      <c r="D9" s="178">
        <v>0</v>
      </c>
      <c r="E9" s="178">
        <v>0</v>
      </c>
      <c r="F9" s="178">
        <v>0</v>
      </c>
      <c r="G9" s="178">
        <v>0</v>
      </c>
      <c r="H9" s="178">
        <v>0</v>
      </c>
      <c r="I9" s="179">
        <v>0</v>
      </c>
      <c r="J9" s="180">
        <v>0</v>
      </c>
      <c r="K9" s="124">
        <f t="shared" ref="K9:K10" si="1">SUM(C9:I9)</f>
        <v>0</v>
      </c>
      <c r="L9" s="2"/>
      <c r="M9" s="702">
        <v>0</v>
      </c>
      <c r="N9" s="178">
        <v>0</v>
      </c>
      <c r="O9" s="720">
        <v>0</v>
      </c>
      <c r="P9" s="723">
        <f>K9+M9+N9+O9</f>
        <v>0</v>
      </c>
    </row>
    <row r="10" spans="2:16" s="1" customFormat="1" x14ac:dyDescent="0.25">
      <c r="B10" s="282"/>
      <c r="C10" s="230">
        <v>0</v>
      </c>
      <c r="D10" s="310">
        <v>0</v>
      </c>
      <c r="E10" s="310">
        <v>0</v>
      </c>
      <c r="F10" s="310">
        <v>0</v>
      </c>
      <c r="G10" s="310">
        <v>0</v>
      </c>
      <c r="H10" s="230">
        <v>0</v>
      </c>
      <c r="I10" s="283">
        <v>0</v>
      </c>
      <c r="J10" s="284">
        <v>0</v>
      </c>
      <c r="K10" s="285">
        <f t="shared" si="1"/>
        <v>0</v>
      </c>
      <c r="L10" s="2"/>
      <c r="M10" s="703">
        <v>0</v>
      </c>
      <c r="N10" s="310">
        <v>0</v>
      </c>
      <c r="O10" s="721">
        <v>0</v>
      </c>
      <c r="P10" s="724">
        <f t="shared" ref="P10:P79" si="2">K10+M10+N10+O10</f>
        <v>0</v>
      </c>
    </row>
    <row r="11" spans="2:16" s="1" customFormat="1" x14ac:dyDescent="0.25">
      <c r="B11" s="181" t="s">
        <v>122</v>
      </c>
      <c r="C11" s="173">
        <v>0</v>
      </c>
      <c r="D11" s="174">
        <v>0</v>
      </c>
      <c r="E11" s="174">
        <v>0</v>
      </c>
      <c r="F11" s="174">
        <v>0</v>
      </c>
      <c r="G11" s="174">
        <v>0</v>
      </c>
      <c r="H11" s="174">
        <v>0</v>
      </c>
      <c r="I11" s="175">
        <v>0</v>
      </c>
      <c r="J11" s="182">
        <v>0</v>
      </c>
      <c r="K11" s="172">
        <f t="shared" ref="K11:K17" si="3">SUM(C11:J11)</f>
        <v>0</v>
      </c>
      <c r="L11" s="2"/>
      <c r="M11" s="703">
        <v>0</v>
      </c>
      <c r="N11" s="310">
        <v>0</v>
      </c>
      <c r="O11" s="721">
        <v>0</v>
      </c>
      <c r="P11" s="724">
        <f t="shared" si="2"/>
        <v>0</v>
      </c>
    </row>
    <row r="12" spans="2:16" s="1" customFormat="1" x14ac:dyDescent="0.25">
      <c r="B12" s="181"/>
      <c r="C12" s="173">
        <v>0</v>
      </c>
      <c r="D12" s="174">
        <v>0</v>
      </c>
      <c r="E12" s="174">
        <v>0</v>
      </c>
      <c r="F12" s="174">
        <v>0</v>
      </c>
      <c r="G12" s="174">
        <v>0</v>
      </c>
      <c r="H12" s="174">
        <v>0</v>
      </c>
      <c r="I12" s="175">
        <v>0</v>
      </c>
      <c r="J12" s="182">
        <v>0</v>
      </c>
      <c r="K12" s="172">
        <f t="shared" ref="K12" si="4">SUM(C12:J12)</f>
        <v>0</v>
      </c>
      <c r="L12" s="2"/>
      <c r="M12" s="703">
        <v>0</v>
      </c>
      <c r="N12" s="310">
        <v>0</v>
      </c>
      <c r="O12" s="721">
        <v>0</v>
      </c>
      <c r="P12" s="724">
        <f t="shared" si="2"/>
        <v>0</v>
      </c>
    </row>
    <row r="13" spans="2:16" s="1" customFormat="1" x14ac:dyDescent="0.25">
      <c r="B13" s="183" t="s">
        <v>123</v>
      </c>
      <c r="C13" s="175">
        <v>0</v>
      </c>
      <c r="D13" s="176">
        <v>0</v>
      </c>
      <c r="E13" s="176">
        <v>0</v>
      </c>
      <c r="F13" s="176">
        <v>0</v>
      </c>
      <c r="G13" s="176">
        <v>0</v>
      </c>
      <c r="H13" s="176">
        <v>0</v>
      </c>
      <c r="I13" s="175">
        <v>0</v>
      </c>
      <c r="J13" s="182">
        <v>0</v>
      </c>
      <c r="K13" s="172">
        <f t="shared" si="3"/>
        <v>0</v>
      </c>
      <c r="L13" s="2"/>
      <c r="M13" s="703">
        <v>0</v>
      </c>
      <c r="N13" s="310">
        <v>0</v>
      </c>
      <c r="O13" s="721">
        <v>0</v>
      </c>
      <c r="P13" s="724">
        <f t="shared" si="2"/>
        <v>0</v>
      </c>
    </row>
    <row r="14" spans="2:16" s="1" customFormat="1" x14ac:dyDescent="0.25">
      <c r="B14" s="183"/>
      <c r="C14" s="175">
        <v>0</v>
      </c>
      <c r="D14" s="176">
        <v>0</v>
      </c>
      <c r="E14" s="176">
        <v>0</v>
      </c>
      <c r="F14" s="176">
        <v>0</v>
      </c>
      <c r="G14" s="176">
        <v>0</v>
      </c>
      <c r="H14" s="176">
        <v>0</v>
      </c>
      <c r="I14" s="175">
        <v>0</v>
      </c>
      <c r="J14" s="182">
        <v>0</v>
      </c>
      <c r="K14" s="172">
        <f t="shared" ref="K14" si="5">SUM(C14:J14)</f>
        <v>0</v>
      </c>
      <c r="L14" s="2"/>
      <c r="M14" s="703">
        <v>0</v>
      </c>
      <c r="N14" s="310">
        <v>0</v>
      </c>
      <c r="O14" s="721">
        <v>0</v>
      </c>
      <c r="P14" s="724">
        <f t="shared" si="2"/>
        <v>0</v>
      </c>
    </row>
    <row r="15" spans="2:16" s="1" customFormat="1" x14ac:dyDescent="0.25">
      <c r="B15" s="183" t="s">
        <v>124</v>
      </c>
      <c r="C15" s="175">
        <v>0</v>
      </c>
      <c r="D15" s="176">
        <v>0</v>
      </c>
      <c r="E15" s="176">
        <v>0</v>
      </c>
      <c r="F15" s="176">
        <v>0</v>
      </c>
      <c r="G15" s="176">
        <v>0</v>
      </c>
      <c r="H15" s="176">
        <v>0</v>
      </c>
      <c r="I15" s="175">
        <v>0</v>
      </c>
      <c r="J15" s="182">
        <v>0</v>
      </c>
      <c r="K15" s="172">
        <f t="shared" ref="K15" si="6">SUM(C15:J15)</f>
        <v>0</v>
      </c>
      <c r="L15" s="2"/>
      <c r="M15" s="703">
        <v>0</v>
      </c>
      <c r="N15" s="310">
        <v>0</v>
      </c>
      <c r="O15" s="721">
        <v>0</v>
      </c>
      <c r="P15" s="724">
        <f t="shared" si="2"/>
        <v>0</v>
      </c>
    </row>
    <row r="16" spans="2:16" s="1" customFormat="1" x14ac:dyDescent="0.25">
      <c r="B16" s="183"/>
      <c r="C16" s="175">
        <v>0</v>
      </c>
      <c r="D16" s="176">
        <v>0</v>
      </c>
      <c r="E16" s="176">
        <v>0</v>
      </c>
      <c r="F16" s="176">
        <v>0</v>
      </c>
      <c r="G16" s="176">
        <v>0</v>
      </c>
      <c r="H16" s="176">
        <v>0</v>
      </c>
      <c r="I16" s="175">
        <v>0</v>
      </c>
      <c r="J16" s="182">
        <v>0</v>
      </c>
      <c r="K16" s="172">
        <f t="shared" ref="K16" si="7">SUM(C16:J16)</f>
        <v>0</v>
      </c>
      <c r="L16" s="2"/>
      <c r="M16" s="703">
        <v>0</v>
      </c>
      <c r="N16" s="310">
        <v>0</v>
      </c>
      <c r="O16" s="721">
        <v>0</v>
      </c>
      <c r="P16" s="724">
        <f t="shared" si="2"/>
        <v>0</v>
      </c>
    </row>
    <row r="17" spans="2:16" s="1" customFormat="1" x14ac:dyDescent="0.25">
      <c r="B17" s="184" t="s">
        <v>125</v>
      </c>
      <c r="C17" s="175">
        <v>0</v>
      </c>
      <c r="D17" s="176">
        <v>0</v>
      </c>
      <c r="E17" s="176">
        <v>0</v>
      </c>
      <c r="F17" s="176">
        <v>0</v>
      </c>
      <c r="G17" s="176">
        <v>0</v>
      </c>
      <c r="H17" s="176">
        <v>0</v>
      </c>
      <c r="I17" s="175">
        <v>0</v>
      </c>
      <c r="J17" s="182">
        <v>0</v>
      </c>
      <c r="K17" s="172">
        <f t="shared" si="3"/>
        <v>0</v>
      </c>
      <c r="L17" s="2"/>
      <c r="M17" s="703">
        <v>0</v>
      </c>
      <c r="N17" s="310">
        <v>0</v>
      </c>
      <c r="O17" s="721">
        <v>0</v>
      </c>
      <c r="P17" s="724">
        <f t="shared" si="2"/>
        <v>0</v>
      </c>
    </row>
    <row r="18" spans="2:16" s="1" customFormat="1" x14ac:dyDescent="0.25">
      <c r="B18" s="184"/>
      <c r="C18" s="175">
        <v>0</v>
      </c>
      <c r="D18" s="176">
        <v>0</v>
      </c>
      <c r="E18" s="176">
        <v>0</v>
      </c>
      <c r="F18" s="176">
        <v>0</v>
      </c>
      <c r="G18" s="176">
        <v>0</v>
      </c>
      <c r="H18" s="176">
        <v>0</v>
      </c>
      <c r="I18" s="175">
        <v>0</v>
      </c>
      <c r="J18" s="182">
        <v>0</v>
      </c>
      <c r="K18" s="172">
        <f t="shared" ref="K18" si="8">SUM(C18:J18)</f>
        <v>0</v>
      </c>
      <c r="L18" s="2"/>
      <c r="M18" s="703">
        <v>0</v>
      </c>
      <c r="N18" s="310">
        <v>0</v>
      </c>
      <c r="O18" s="721">
        <v>0</v>
      </c>
      <c r="P18" s="724">
        <f t="shared" si="2"/>
        <v>0</v>
      </c>
    </row>
    <row r="19" spans="2:16" s="1" customFormat="1" x14ac:dyDescent="0.25">
      <c r="B19" s="184" t="s">
        <v>126</v>
      </c>
      <c r="C19" s="175">
        <v>0</v>
      </c>
      <c r="D19" s="176">
        <v>0</v>
      </c>
      <c r="E19" s="176">
        <v>0</v>
      </c>
      <c r="F19" s="176">
        <v>0</v>
      </c>
      <c r="G19" s="176">
        <v>0</v>
      </c>
      <c r="H19" s="176">
        <v>0</v>
      </c>
      <c r="I19" s="175">
        <v>0</v>
      </c>
      <c r="J19" s="182">
        <v>0</v>
      </c>
      <c r="K19" s="172">
        <f t="shared" ref="K19" si="9">SUM(C19:J19)</f>
        <v>0</v>
      </c>
      <c r="L19" s="2"/>
      <c r="M19" s="703">
        <v>0</v>
      </c>
      <c r="N19" s="310">
        <v>0</v>
      </c>
      <c r="O19" s="721">
        <v>0</v>
      </c>
      <c r="P19" s="724">
        <f t="shared" si="2"/>
        <v>0</v>
      </c>
    </row>
    <row r="20" spans="2:16" s="1" customFormat="1" x14ac:dyDescent="0.25">
      <c r="B20" s="184"/>
      <c r="C20" s="175">
        <v>0</v>
      </c>
      <c r="D20" s="176">
        <v>0</v>
      </c>
      <c r="E20" s="176">
        <v>0</v>
      </c>
      <c r="F20" s="176">
        <v>0</v>
      </c>
      <c r="G20" s="176">
        <v>0</v>
      </c>
      <c r="H20" s="176">
        <v>0</v>
      </c>
      <c r="I20" s="175">
        <v>0</v>
      </c>
      <c r="J20" s="182">
        <v>0</v>
      </c>
      <c r="K20" s="172">
        <f t="shared" ref="K20" si="10">SUM(C20:J20)</f>
        <v>0</v>
      </c>
      <c r="L20" s="2"/>
      <c r="M20" s="703">
        <v>0</v>
      </c>
      <c r="N20" s="310">
        <v>0</v>
      </c>
      <c r="O20" s="721">
        <v>0</v>
      </c>
      <c r="P20" s="724">
        <f t="shared" si="2"/>
        <v>0</v>
      </c>
    </row>
    <row r="21" spans="2:16" s="1" customFormat="1" x14ac:dyDescent="0.25">
      <c r="B21" s="185" t="s">
        <v>127</v>
      </c>
      <c r="C21" s="175">
        <v>1200</v>
      </c>
      <c r="D21" s="176">
        <v>1200</v>
      </c>
      <c r="E21" s="176">
        <v>1200</v>
      </c>
      <c r="F21" s="176">
        <v>0</v>
      </c>
      <c r="G21" s="176">
        <v>0</v>
      </c>
      <c r="H21" s="176">
        <v>0</v>
      </c>
      <c r="I21" s="175">
        <v>0</v>
      </c>
      <c r="J21" s="182">
        <v>0</v>
      </c>
      <c r="K21" s="172">
        <f t="shared" ref="K21" si="11">SUM(C21:J21)</f>
        <v>3600</v>
      </c>
      <c r="L21" s="2"/>
      <c r="M21" s="703">
        <v>0</v>
      </c>
      <c r="N21" s="310">
        <v>0</v>
      </c>
      <c r="O21" s="721">
        <v>0</v>
      </c>
      <c r="P21" s="724">
        <f t="shared" si="2"/>
        <v>3600</v>
      </c>
    </row>
    <row r="22" spans="2:16" s="1" customFormat="1" x14ac:dyDescent="0.25">
      <c r="B22" s="185"/>
      <c r="C22" s="175">
        <v>0</v>
      </c>
      <c r="D22" s="176">
        <v>0</v>
      </c>
      <c r="E22" s="176">
        <v>0</v>
      </c>
      <c r="F22" s="176">
        <v>0</v>
      </c>
      <c r="G22" s="176">
        <v>0</v>
      </c>
      <c r="H22" s="176">
        <v>0</v>
      </c>
      <c r="I22" s="175">
        <v>0</v>
      </c>
      <c r="J22" s="182">
        <v>0</v>
      </c>
      <c r="K22" s="172">
        <f t="shared" ref="K22" si="12">SUM(C22:J22)</f>
        <v>0</v>
      </c>
      <c r="L22" s="2"/>
      <c r="M22" s="703">
        <v>0</v>
      </c>
      <c r="N22" s="310">
        <v>0</v>
      </c>
      <c r="O22" s="721">
        <v>0</v>
      </c>
      <c r="P22" s="724">
        <f t="shared" si="2"/>
        <v>0</v>
      </c>
    </row>
    <row r="23" spans="2:16" s="1" customFormat="1" x14ac:dyDescent="0.25">
      <c r="B23" s="185" t="s">
        <v>128</v>
      </c>
      <c r="C23" s="175">
        <v>0</v>
      </c>
      <c r="D23" s="176">
        <v>0</v>
      </c>
      <c r="E23" s="176">
        <v>0</v>
      </c>
      <c r="F23" s="176">
        <v>0</v>
      </c>
      <c r="G23" s="176">
        <v>0</v>
      </c>
      <c r="H23" s="176">
        <v>0</v>
      </c>
      <c r="I23" s="175">
        <v>0</v>
      </c>
      <c r="J23" s="182">
        <v>0</v>
      </c>
      <c r="K23" s="172">
        <f t="shared" ref="K23" si="13">SUM(C23:J23)</f>
        <v>0</v>
      </c>
      <c r="L23" s="2"/>
      <c r="M23" s="703">
        <v>0</v>
      </c>
      <c r="N23" s="310">
        <v>0</v>
      </c>
      <c r="O23" s="721">
        <v>0</v>
      </c>
      <c r="P23" s="724">
        <f t="shared" si="2"/>
        <v>0</v>
      </c>
    </row>
    <row r="24" spans="2:16" s="1" customFormat="1" x14ac:dyDescent="0.25">
      <c r="B24" s="185"/>
      <c r="C24" s="175">
        <v>0</v>
      </c>
      <c r="D24" s="176">
        <v>0</v>
      </c>
      <c r="E24" s="176">
        <v>0</v>
      </c>
      <c r="F24" s="176">
        <v>0</v>
      </c>
      <c r="G24" s="176">
        <v>0</v>
      </c>
      <c r="H24" s="176">
        <v>0</v>
      </c>
      <c r="I24" s="175">
        <v>0</v>
      </c>
      <c r="J24" s="182">
        <v>0</v>
      </c>
      <c r="K24" s="172">
        <f t="shared" ref="K24:K31" si="14">SUM(C24:J24)</f>
        <v>0</v>
      </c>
      <c r="L24" s="2"/>
      <c r="M24" s="703">
        <v>0</v>
      </c>
      <c r="N24" s="310">
        <v>0</v>
      </c>
      <c r="O24" s="721">
        <v>0</v>
      </c>
      <c r="P24" s="724">
        <f t="shared" si="2"/>
        <v>0</v>
      </c>
    </row>
    <row r="25" spans="2:16" s="1" customFormat="1" x14ac:dyDescent="0.25">
      <c r="B25" s="839" t="s">
        <v>341</v>
      </c>
      <c r="C25" s="175">
        <v>0</v>
      </c>
      <c r="D25" s="176">
        <v>0</v>
      </c>
      <c r="E25" s="176">
        <v>0</v>
      </c>
      <c r="F25" s="176">
        <v>0</v>
      </c>
      <c r="G25" s="176">
        <v>0</v>
      </c>
      <c r="H25" s="176">
        <v>0</v>
      </c>
      <c r="I25" s="175">
        <v>0</v>
      </c>
      <c r="J25" s="182">
        <v>0</v>
      </c>
      <c r="K25" s="172">
        <f t="shared" si="14"/>
        <v>0</v>
      </c>
      <c r="L25" s="2"/>
      <c r="M25" s="703">
        <v>0</v>
      </c>
      <c r="N25" s="310">
        <v>0</v>
      </c>
      <c r="O25" s="721">
        <v>0</v>
      </c>
      <c r="P25" s="724">
        <f t="shared" ref="P25:P28" si="15">K25+M25+N25+O25</f>
        <v>0</v>
      </c>
    </row>
    <row r="26" spans="2:16" s="1" customFormat="1" x14ac:dyDescent="0.25">
      <c r="B26" s="839"/>
      <c r="C26" s="175">
        <v>0</v>
      </c>
      <c r="D26" s="176">
        <v>0</v>
      </c>
      <c r="E26" s="176">
        <v>0</v>
      </c>
      <c r="F26" s="176">
        <v>0</v>
      </c>
      <c r="G26" s="176">
        <v>0</v>
      </c>
      <c r="H26" s="176">
        <v>0</v>
      </c>
      <c r="I26" s="175">
        <v>0</v>
      </c>
      <c r="J26" s="182">
        <v>0</v>
      </c>
      <c r="K26" s="172">
        <f t="shared" si="14"/>
        <v>0</v>
      </c>
      <c r="L26" s="2"/>
      <c r="M26" s="703">
        <v>0</v>
      </c>
      <c r="N26" s="310">
        <v>0</v>
      </c>
      <c r="O26" s="721">
        <v>0</v>
      </c>
      <c r="P26" s="724">
        <f t="shared" si="15"/>
        <v>0</v>
      </c>
    </row>
    <row r="27" spans="2:16" s="1" customFormat="1" x14ac:dyDescent="0.25">
      <c r="B27" s="839" t="s">
        <v>342</v>
      </c>
      <c r="C27" s="175">
        <v>0</v>
      </c>
      <c r="D27" s="176">
        <v>0</v>
      </c>
      <c r="E27" s="176">
        <v>0</v>
      </c>
      <c r="F27" s="176">
        <v>0</v>
      </c>
      <c r="G27" s="176">
        <v>0</v>
      </c>
      <c r="H27" s="176">
        <v>0</v>
      </c>
      <c r="I27" s="175">
        <v>0</v>
      </c>
      <c r="J27" s="182">
        <v>0</v>
      </c>
      <c r="K27" s="172">
        <f t="shared" si="14"/>
        <v>0</v>
      </c>
      <c r="L27" s="2"/>
      <c r="M27" s="703">
        <v>0</v>
      </c>
      <c r="N27" s="310">
        <v>0</v>
      </c>
      <c r="O27" s="721">
        <v>0</v>
      </c>
      <c r="P27" s="724">
        <f t="shared" si="15"/>
        <v>0</v>
      </c>
    </row>
    <row r="28" spans="2:16" s="1" customFormat="1" x14ac:dyDescent="0.25">
      <c r="B28" s="839"/>
      <c r="C28" s="175">
        <v>0</v>
      </c>
      <c r="D28" s="176">
        <v>0</v>
      </c>
      <c r="E28" s="176">
        <v>0</v>
      </c>
      <c r="F28" s="176">
        <v>0</v>
      </c>
      <c r="G28" s="176">
        <v>0</v>
      </c>
      <c r="H28" s="176">
        <v>0</v>
      </c>
      <c r="I28" s="175">
        <v>0</v>
      </c>
      <c r="J28" s="182">
        <v>0</v>
      </c>
      <c r="K28" s="172">
        <f t="shared" ref="K28" si="16">SUM(C28:J28)</f>
        <v>0</v>
      </c>
      <c r="L28" s="2"/>
      <c r="M28" s="703">
        <v>0</v>
      </c>
      <c r="N28" s="310">
        <v>0</v>
      </c>
      <c r="O28" s="721">
        <v>0</v>
      </c>
      <c r="P28" s="724">
        <f t="shared" si="15"/>
        <v>0</v>
      </c>
    </row>
    <row r="29" spans="2:16" s="1" customFormat="1" x14ac:dyDescent="0.25">
      <c r="B29" s="581" t="s">
        <v>129</v>
      </c>
      <c r="C29" s="175">
        <v>0</v>
      </c>
      <c r="D29" s="176">
        <v>0</v>
      </c>
      <c r="E29" s="176">
        <v>0</v>
      </c>
      <c r="F29" s="176">
        <v>1200</v>
      </c>
      <c r="G29" s="176">
        <v>1200</v>
      </c>
      <c r="H29" s="176">
        <v>0</v>
      </c>
      <c r="I29" s="175">
        <v>0</v>
      </c>
      <c r="J29" s="182">
        <v>0</v>
      </c>
      <c r="K29" s="172">
        <f t="shared" si="14"/>
        <v>2400</v>
      </c>
      <c r="L29" s="2"/>
      <c r="M29" s="703">
        <v>0</v>
      </c>
      <c r="N29" s="310">
        <v>0</v>
      </c>
      <c r="O29" s="721">
        <v>0</v>
      </c>
      <c r="P29" s="724">
        <f t="shared" si="2"/>
        <v>2400</v>
      </c>
    </row>
    <row r="30" spans="2:16" s="1" customFormat="1" x14ac:dyDescent="0.25">
      <c r="B30" s="581"/>
      <c r="C30" s="175">
        <v>0</v>
      </c>
      <c r="D30" s="176">
        <v>0</v>
      </c>
      <c r="E30" s="176">
        <v>0</v>
      </c>
      <c r="F30" s="176">
        <v>0</v>
      </c>
      <c r="G30" s="176">
        <v>0</v>
      </c>
      <c r="H30" s="176">
        <v>0</v>
      </c>
      <c r="I30" s="175">
        <v>0</v>
      </c>
      <c r="J30" s="182">
        <v>0</v>
      </c>
      <c r="K30" s="172">
        <f t="shared" si="14"/>
        <v>0</v>
      </c>
      <c r="L30" s="2"/>
      <c r="M30" s="703">
        <v>0</v>
      </c>
      <c r="N30" s="310">
        <v>0</v>
      </c>
      <c r="O30" s="721">
        <v>0</v>
      </c>
      <c r="P30" s="724">
        <f t="shared" si="2"/>
        <v>0</v>
      </c>
    </row>
    <row r="31" spans="2:16" s="1" customFormat="1" x14ac:dyDescent="0.25">
      <c r="B31" s="581" t="s">
        <v>130</v>
      </c>
      <c r="C31" s="175">
        <v>0</v>
      </c>
      <c r="D31" s="176">
        <v>0</v>
      </c>
      <c r="E31" s="176">
        <v>0</v>
      </c>
      <c r="F31" s="176">
        <v>0</v>
      </c>
      <c r="G31" s="176">
        <v>0</v>
      </c>
      <c r="H31" s="176">
        <v>0</v>
      </c>
      <c r="I31" s="175">
        <v>0</v>
      </c>
      <c r="J31" s="182">
        <v>0</v>
      </c>
      <c r="K31" s="172">
        <f t="shared" si="14"/>
        <v>0</v>
      </c>
      <c r="L31" s="2"/>
      <c r="M31" s="703">
        <v>0</v>
      </c>
      <c r="N31" s="310">
        <v>0</v>
      </c>
      <c r="O31" s="721">
        <v>0</v>
      </c>
      <c r="P31" s="724">
        <f t="shared" si="2"/>
        <v>0</v>
      </c>
    </row>
    <row r="32" spans="2:16" s="1" customFormat="1" x14ac:dyDescent="0.25">
      <c r="B32" s="582"/>
      <c r="C32" s="175">
        <v>0</v>
      </c>
      <c r="D32" s="176">
        <v>0</v>
      </c>
      <c r="E32" s="176">
        <v>0</v>
      </c>
      <c r="F32" s="176">
        <v>0</v>
      </c>
      <c r="G32" s="176">
        <v>0</v>
      </c>
      <c r="H32" s="176">
        <v>0</v>
      </c>
      <c r="I32" s="175">
        <v>0</v>
      </c>
      <c r="J32" s="182">
        <v>0</v>
      </c>
      <c r="K32" s="172">
        <f t="shared" ref="K32" si="17">SUM(C32:J32)</f>
        <v>0</v>
      </c>
      <c r="L32" s="2"/>
      <c r="M32" s="703">
        <v>0</v>
      </c>
      <c r="N32" s="310">
        <v>0</v>
      </c>
      <c r="O32" s="721">
        <v>0</v>
      </c>
      <c r="P32" s="724">
        <f t="shared" si="2"/>
        <v>0</v>
      </c>
    </row>
    <row r="33" spans="2:16" s="1" customFormat="1" x14ac:dyDescent="0.25">
      <c r="B33" s="583" t="s">
        <v>131</v>
      </c>
      <c r="C33" s="175">
        <v>0</v>
      </c>
      <c r="D33" s="176">
        <v>0</v>
      </c>
      <c r="E33" s="176">
        <v>0</v>
      </c>
      <c r="F33" s="176">
        <v>0</v>
      </c>
      <c r="G33" s="176">
        <v>0</v>
      </c>
      <c r="H33" s="176">
        <v>0</v>
      </c>
      <c r="I33" s="175">
        <v>0</v>
      </c>
      <c r="J33" s="182">
        <v>0</v>
      </c>
      <c r="K33" s="172">
        <f t="shared" ref="K33:K35" si="18">SUM(C33:J33)</f>
        <v>0</v>
      </c>
      <c r="L33" s="2"/>
      <c r="M33" s="703">
        <v>0</v>
      </c>
      <c r="N33" s="310">
        <v>0</v>
      </c>
      <c r="O33" s="721">
        <v>0</v>
      </c>
      <c r="P33" s="724">
        <f t="shared" si="2"/>
        <v>0</v>
      </c>
    </row>
    <row r="34" spans="2:16" s="1" customFormat="1" x14ac:dyDescent="0.25">
      <c r="B34" s="583"/>
      <c r="C34" s="175">
        <v>0</v>
      </c>
      <c r="D34" s="176">
        <v>0</v>
      </c>
      <c r="E34" s="176">
        <v>0</v>
      </c>
      <c r="F34" s="176">
        <v>0</v>
      </c>
      <c r="G34" s="176">
        <v>0</v>
      </c>
      <c r="H34" s="176">
        <v>0</v>
      </c>
      <c r="I34" s="175">
        <v>0</v>
      </c>
      <c r="J34" s="182">
        <v>0</v>
      </c>
      <c r="K34" s="172">
        <f t="shared" si="18"/>
        <v>0</v>
      </c>
      <c r="L34" s="2"/>
      <c r="M34" s="703">
        <v>0</v>
      </c>
      <c r="N34" s="310">
        <v>0</v>
      </c>
      <c r="O34" s="721">
        <v>0</v>
      </c>
      <c r="P34" s="724">
        <f t="shared" si="2"/>
        <v>0</v>
      </c>
    </row>
    <row r="35" spans="2:16" s="1" customFormat="1" x14ac:dyDescent="0.25">
      <c r="B35" s="583" t="s">
        <v>132</v>
      </c>
      <c r="C35" s="175">
        <v>0</v>
      </c>
      <c r="D35" s="176">
        <v>0</v>
      </c>
      <c r="E35" s="176">
        <v>0</v>
      </c>
      <c r="F35" s="176">
        <v>0</v>
      </c>
      <c r="G35" s="176">
        <v>0</v>
      </c>
      <c r="H35" s="176">
        <v>0</v>
      </c>
      <c r="I35" s="175">
        <v>0</v>
      </c>
      <c r="J35" s="182">
        <v>0</v>
      </c>
      <c r="K35" s="172">
        <f t="shared" si="18"/>
        <v>0</v>
      </c>
      <c r="L35" s="2"/>
      <c r="M35" s="703">
        <v>0</v>
      </c>
      <c r="N35" s="310">
        <v>0</v>
      </c>
      <c r="O35" s="721">
        <v>0</v>
      </c>
      <c r="P35" s="724">
        <f t="shared" si="2"/>
        <v>0</v>
      </c>
    </row>
    <row r="36" spans="2:16" s="1" customFormat="1" ht="15.75" thickBot="1" x14ac:dyDescent="0.3">
      <c r="B36" s="584"/>
      <c r="C36" s="175">
        <v>0</v>
      </c>
      <c r="D36" s="176">
        <v>0</v>
      </c>
      <c r="E36" s="176">
        <v>0</v>
      </c>
      <c r="F36" s="176">
        <v>0</v>
      </c>
      <c r="G36" s="176">
        <v>0</v>
      </c>
      <c r="H36" s="176">
        <v>0</v>
      </c>
      <c r="I36" s="175">
        <v>0</v>
      </c>
      <c r="J36" s="182">
        <v>0</v>
      </c>
      <c r="K36" s="172">
        <f t="shared" ref="K36" si="19">SUM(C36:J36)</f>
        <v>0</v>
      </c>
      <c r="L36" s="2"/>
      <c r="M36" s="704">
        <v>0</v>
      </c>
      <c r="N36" s="705">
        <v>0</v>
      </c>
      <c r="O36" s="722">
        <v>0</v>
      </c>
      <c r="P36" s="726">
        <f t="shared" si="2"/>
        <v>0</v>
      </c>
    </row>
    <row r="37" spans="2:16" s="1" customFormat="1" ht="15.75" thickBot="1" x14ac:dyDescent="0.3">
      <c r="B37" s="186" t="s">
        <v>133</v>
      </c>
      <c r="C37" s="187">
        <f>C9+C13+C17+C21+C29+C33+C25</f>
        <v>1200</v>
      </c>
      <c r="D37" s="187">
        <f t="shared" ref="D37:K37" si="20">D9+D13+D17+D21+D29+D33+D25</f>
        <v>1200</v>
      </c>
      <c r="E37" s="187">
        <f t="shared" si="20"/>
        <v>1200</v>
      </c>
      <c r="F37" s="187">
        <f t="shared" si="20"/>
        <v>1200</v>
      </c>
      <c r="G37" s="187">
        <f t="shared" si="20"/>
        <v>1200</v>
      </c>
      <c r="H37" s="187">
        <f t="shared" si="20"/>
        <v>0</v>
      </c>
      <c r="I37" s="187">
        <f t="shared" si="20"/>
        <v>0</v>
      </c>
      <c r="J37" s="187">
        <f t="shared" si="20"/>
        <v>0</v>
      </c>
      <c r="K37" s="317">
        <f t="shared" si="20"/>
        <v>6000</v>
      </c>
      <c r="L37" s="2"/>
      <c r="M37" s="727">
        <f t="shared" ref="M37:P37" si="21">M9+M13+M17+M21+M29+M33+M25</f>
        <v>0</v>
      </c>
      <c r="N37" s="187">
        <f t="shared" si="21"/>
        <v>0</v>
      </c>
      <c r="O37" s="728">
        <f t="shared" si="21"/>
        <v>0</v>
      </c>
      <c r="P37" s="729">
        <f t="shared" si="21"/>
        <v>6000</v>
      </c>
    </row>
    <row r="38" spans="2:16" s="1" customFormat="1" ht="15.75" thickBot="1" x14ac:dyDescent="0.3">
      <c r="B38" s="186"/>
      <c r="C38" s="187">
        <f t="shared" ref="C38:K40" si="22">C10+C14+C18+C22+C30+C34+C26</f>
        <v>0</v>
      </c>
      <c r="D38" s="187">
        <f t="shared" si="22"/>
        <v>0</v>
      </c>
      <c r="E38" s="187">
        <f t="shared" si="22"/>
        <v>0</v>
      </c>
      <c r="F38" s="187">
        <f t="shared" si="22"/>
        <v>0</v>
      </c>
      <c r="G38" s="187">
        <f t="shared" si="22"/>
        <v>0</v>
      </c>
      <c r="H38" s="187">
        <f t="shared" si="22"/>
        <v>0</v>
      </c>
      <c r="I38" s="187">
        <f t="shared" si="22"/>
        <v>0</v>
      </c>
      <c r="J38" s="315">
        <f t="shared" si="22"/>
        <v>0</v>
      </c>
      <c r="K38" s="317">
        <f t="shared" si="22"/>
        <v>0</v>
      </c>
      <c r="L38" s="2"/>
      <c r="M38" s="727">
        <f t="shared" ref="M38:P38" si="23">M10+M14+M18+M22+M30+M34+M26</f>
        <v>0</v>
      </c>
      <c r="N38" s="187">
        <f t="shared" si="23"/>
        <v>0</v>
      </c>
      <c r="O38" s="728">
        <f t="shared" si="23"/>
        <v>0</v>
      </c>
      <c r="P38" s="729">
        <f t="shared" si="23"/>
        <v>0</v>
      </c>
    </row>
    <row r="39" spans="2:16" s="1" customFormat="1" ht="15.75" thickBot="1" x14ac:dyDescent="0.3">
      <c r="B39" s="188" t="s">
        <v>134</v>
      </c>
      <c r="C39" s="187">
        <f t="shared" si="22"/>
        <v>0</v>
      </c>
      <c r="D39" s="189">
        <f t="shared" si="22"/>
        <v>0</v>
      </c>
      <c r="E39" s="189">
        <f t="shared" si="22"/>
        <v>0</v>
      </c>
      <c r="F39" s="189">
        <f t="shared" si="22"/>
        <v>0</v>
      </c>
      <c r="G39" s="189">
        <f t="shared" si="22"/>
        <v>0</v>
      </c>
      <c r="H39" s="189">
        <f t="shared" si="22"/>
        <v>0</v>
      </c>
      <c r="I39" s="189">
        <f t="shared" si="22"/>
        <v>0</v>
      </c>
      <c r="J39" s="316">
        <f t="shared" si="22"/>
        <v>0</v>
      </c>
      <c r="K39" s="317">
        <f t="shared" si="22"/>
        <v>0</v>
      </c>
      <c r="L39" s="2"/>
      <c r="M39" s="727">
        <f t="shared" ref="M39:P39" si="24">M11+M15+M19+M23+M31+M35+M27</f>
        <v>0</v>
      </c>
      <c r="N39" s="187">
        <f t="shared" si="24"/>
        <v>0</v>
      </c>
      <c r="O39" s="315">
        <f t="shared" si="24"/>
        <v>0</v>
      </c>
      <c r="P39" s="729">
        <f t="shared" si="24"/>
        <v>0</v>
      </c>
    </row>
    <row r="40" spans="2:16" s="1" customFormat="1" ht="15.75" thickBot="1" x14ac:dyDescent="0.3">
      <c r="B40" s="188"/>
      <c r="C40" s="187">
        <f t="shared" si="22"/>
        <v>0</v>
      </c>
      <c r="D40" s="189">
        <f t="shared" si="22"/>
        <v>0</v>
      </c>
      <c r="E40" s="189">
        <f t="shared" si="22"/>
        <v>0</v>
      </c>
      <c r="F40" s="189">
        <f t="shared" si="22"/>
        <v>0</v>
      </c>
      <c r="G40" s="189">
        <f t="shared" si="22"/>
        <v>0</v>
      </c>
      <c r="H40" s="189">
        <f t="shared" si="22"/>
        <v>0</v>
      </c>
      <c r="I40" s="189">
        <f t="shared" si="22"/>
        <v>0</v>
      </c>
      <c r="J40" s="316">
        <f t="shared" si="22"/>
        <v>0</v>
      </c>
      <c r="K40" s="317">
        <f t="shared" si="22"/>
        <v>0</v>
      </c>
      <c r="L40" s="2"/>
      <c r="M40" s="727">
        <f t="shared" ref="M40:P40" si="25">M12+M16+M20+M24+M32+M36+M28</f>
        <v>0</v>
      </c>
      <c r="N40" s="187">
        <f t="shared" si="25"/>
        <v>0</v>
      </c>
      <c r="O40" s="315">
        <f t="shared" si="25"/>
        <v>0</v>
      </c>
      <c r="P40" s="733">
        <f t="shared" si="25"/>
        <v>0</v>
      </c>
    </row>
    <row r="41" spans="2:16" s="1" customFormat="1" x14ac:dyDescent="0.25">
      <c r="B41" s="29" t="s">
        <v>135</v>
      </c>
      <c r="C41" s="168">
        <v>700</v>
      </c>
      <c r="D41" s="169">
        <v>700</v>
      </c>
      <c r="E41" s="169">
        <v>700</v>
      </c>
      <c r="F41" s="169">
        <v>500</v>
      </c>
      <c r="G41" s="169">
        <v>0</v>
      </c>
      <c r="H41" s="169">
        <v>0</v>
      </c>
      <c r="I41" s="170">
        <v>0</v>
      </c>
      <c r="J41" s="30">
        <v>0</v>
      </c>
      <c r="K41" s="171">
        <f t="shared" ref="K41:K46" si="26">SUM(C41:J41)</f>
        <v>2600</v>
      </c>
      <c r="L41" s="2"/>
      <c r="M41" s="702">
        <v>0</v>
      </c>
      <c r="N41" s="178">
        <v>0</v>
      </c>
      <c r="O41" s="720">
        <v>0</v>
      </c>
      <c r="P41" s="723">
        <f t="shared" si="2"/>
        <v>2600</v>
      </c>
    </row>
    <row r="42" spans="2:16" s="1" customFormat="1" x14ac:dyDescent="0.25">
      <c r="B42" s="29"/>
      <c r="C42" s="168">
        <v>0</v>
      </c>
      <c r="D42" s="169">
        <v>0</v>
      </c>
      <c r="E42" s="169">
        <v>0</v>
      </c>
      <c r="F42" s="169">
        <v>0</v>
      </c>
      <c r="G42" s="169">
        <v>0</v>
      </c>
      <c r="H42" s="169">
        <v>0</v>
      </c>
      <c r="I42" s="170">
        <v>0</v>
      </c>
      <c r="J42" s="30">
        <v>0</v>
      </c>
      <c r="K42" s="171">
        <f t="shared" si="26"/>
        <v>0</v>
      </c>
      <c r="L42" s="2"/>
      <c r="M42" s="706">
        <v>0</v>
      </c>
      <c r="N42" s="174">
        <v>0</v>
      </c>
      <c r="O42" s="730">
        <v>0</v>
      </c>
      <c r="P42" s="724">
        <f t="shared" si="2"/>
        <v>0</v>
      </c>
    </row>
    <row r="43" spans="2:16" s="1" customFormat="1" x14ac:dyDescent="0.25">
      <c r="B43" s="29" t="s">
        <v>136</v>
      </c>
      <c r="C43" s="168">
        <v>0</v>
      </c>
      <c r="D43" s="169">
        <v>0</v>
      </c>
      <c r="E43" s="169">
        <v>0</v>
      </c>
      <c r="F43" s="169">
        <v>0</v>
      </c>
      <c r="G43" s="169">
        <v>0</v>
      </c>
      <c r="H43" s="169">
        <v>0</v>
      </c>
      <c r="I43" s="170">
        <v>0</v>
      </c>
      <c r="J43" s="30">
        <v>0</v>
      </c>
      <c r="K43" s="47">
        <f t="shared" si="26"/>
        <v>0</v>
      </c>
      <c r="L43" s="2"/>
      <c r="M43" s="706">
        <v>0</v>
      </c>
      <c r="N43" s="174">
        <v>0</v>
      </c>
      <c r="O43" s="730">
        <v>0</v>
      </c>
      <c r="P43" s="724">
        <f t="shared" si="2"/>
        <v>0</v>
      </c>
    </row>
    <row r="44" spans="2:16" s="1" customFormat="1" x14ac:dyDescent="0.25">
      <c r="B44" s="29"/>
      <c r="C44" s="168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  <c r="I44" s="170">
        <v>0</v>
      </c>
      <c r="J44" s="30">
        <v>0</v>
      </c>
      <c r="K44" s="47">
        <f t="shared" ref="K44" si="27">SUM(C44:J44)</f>
        <v>0</v>
      </c>
      <c r="L44" s="2"/>
      <c r="M44" s="706">
        <v>0</v>
      </c>
      <c r="N44" s="173">
        <v>0</v>
      </c>
      <c r="O44" s="731">
        <v>0</v>
      </c>
      <c r="P44" s="724">
        <f t="shared" si="2"/>
        <v>0</v>
      </c>
    </row>
    <row r="45" spans="2:16" s="1" customFormat="1" x14ac:dyDescent="0.25">
      <c r="B45" s="14" t="s">
        <v>137</v>
      </c>
      <c r="C45" s="15">
        <v>0</v>
      </c>
      <c r="D45" s="154">
        <v>0</v>
      </c>
      <c r="E45" s="154">
        <v>0</v>
      </c>
      <c r="F45" s="154">
        <v>0</v>
      </c>
      <c r="G45" s="154">
        <v>0</v>
      </c>
      <c r="H45" s="154">
        <v>0</v>
      </c>
      <c r="I45" s="15">
        <v>0</v>
      </c>
      <c r="J45" s="17">
        <v>0</v>
      </c>
      <c r="K45" s="47">
        <f t="shared" si="26"/>
        <v>0</v>
      </c>
      <c r="L45" s="2"/>
      <c r="M45" s="706">
        <v>0</v>
      </c>
      <c r="N45" s="174">
        <v>0</v>
      </c>
      <c r="O45" s="730">
        <v>0</v>
      </c>
      <c r="P45" s="724">
        <f t="shared" si="2"/>
        <v>0</v>
      </c>
    </row>
    <row r="46" spans="2:16" s="1" customFormat="1" x14ac:dyDescent="0.25">
      <c r="B46" s="14"/>
      <c r="C46" s="15">
        <v>0</v>
      </c>
      <c r="D46" s="154">
        <v>0</v>
      </c>
      <c r="E46" s="154">
        <v>0</v>
      </c>
      <c r="F46" s="154">
        <v>0</v>
      </c>
      <c r="G46" s="154">
        <v>0</v>
      </c>
      <c r="H46" s="154">
        <v>0</v>
      </c>
      <c r="I46" s="15">
        <v>0</v>
      </c>
      <c r="J46" s="17">
        <v>0</v>
      </c>
      <c r="K46" s="47">
        <f t="shared" si="26"/>
        <v>0</v>
      </c>
      <c r="L46" s="2"/>
      <c r="M46" s="706">
        <v>0</v>
      </c>
      <c r="N46" s="174">
        <v>0</v>
      </c>
      <c r="O46" s="730">
        <v>0</v>
      </c>
      <c r="P46" s="724">
        <f t="shared" si="2"/>
        <v>0</v>
      </c>
    </row>
    <row r="47" spans="2:16" s="1" customFormat="1" x14ac:dyDescent="0.25">
      <c r="B47" s="14" t="s">
        <v>138</v>
      </c>
      <c r="C47" s="15">
        <v>0</v>
      </c>
      <c r="D47" s="154">
        <v>0</v>
      </c>
      <c r="E47" s="154">
        <v>0</v>
      </c>
      <c r="F47" s="154">
        <v>0</v>
      </c>
      <c r="G47" s="154">
        <v>0</v>
      </c>
      <c r="H47" s="154">
        <v>0</v>
      </c>
      <c r="I47" s="15">
        <v>0</v>
      </c>
      <c r="J47" s="17">
        <v>0</v>
      </c>
      <c r="K47" s="47">
        <f t="shared" ref="K47" si="28">SUM(C47:J47)</f>
        <v>0</v>
      </c>
      <c r="L47" s="2"/>
      <c r="M47" s="706">
        <v>0</v>
      </c>
      <c r="N47" s="174">
        <v>0</v>
      </c>
      <c r="O47" s="730">
        <v>0</v>
      </c>
      <c r="P47" s="724">
        <f t="shared" si="2"/>
        <v>0</v>
      </c>
    </row>
    <row r="48" spans="2:16" s="1" customFormat="1" x14ac:dyDescent="0.25">
      <c r="B48" s="14"/>
      <c r="C48" s="15">
        <v>0</v>
      </c>
      <c r="D48" s="154">
        <v>0</v>
      </c>
      <c r="E48" s="154">
        <v>0</v>
      </c>
      <c r="F48" s="154">
        <v>0</v>
      </c>
      <c r="G48" s="154">
        <v>0</v>
      </c>
      <c r="H48" s="154">
        <v>0</v>
      </c>
      <c r="I48" s="15">
        <v>0</v>
      </c>
      <c r="J48" s="17">
        <v>0</v>
      </c>
      <c r="K48" s="47">
        <f t="shared" ref="K48" si="29">SUM(C48:J48)</f>
        <v>0</v>
      </c>
      <c r="L48" s="2"/>
      <c r="M48" s="706">
        <v>0</v>
      </c>
      <c r="N48" s="174">
        <v>0</v>
      </c>
      <c r="O48" s="730">
        <v>0</v>
      </c>
      <c r="P48" s="724">
        <f t="shared" si="2"/>
        <v>0</v>
      </c>
    </row>
    <row r="49" spans="2:16" s="1" customFormat="1" x14ac:dyDescent="0.25">
      <c r="B49" s="18" t="s">
        <v>139</v>
      </c>
      <c r="C49" s="15">
        <v>0</v>
      </c>
      <c r="D49" s="154">
        <v>0</v>
      </c>
      <c r="E49" s="154">
        <v>0</v>
      </c>
      <c r="F49" s="154">
        <v>0</v>
      </c>
      <c r="G49" s="154">
        <v>0</v>
      </c>
      <c r="H49" s="154">
        <v>0</v>
      </c>
      <c r="I49" s="15">
        <v>0</v>
      </c>
      <c r="J49" s="17">
        <v>0</v>
      </c>
      <c r="K49" s="47">
        <f t="shared" ref="K49" si="30">SUM(C49:J49)</f>
        <v>0</v>
      </c>
      <c r="L49" s="2"/>
      <c r="M49" s="706">
        <v>0</v>
      </c>
      <c r="N49" s="174">
        <v>0</v>
      </c>
      <c r="O49" s="730">
        <v>0</v>
      </c>
      <c r="P49" s="724">
        <f t="shared" si="2"/>
        <v>0</v>
      </c>
    </row>
    <row r="50" spans="2:16" s="1" customFormat="1" x14ac:dyDescent="0.25">
      <c r="B50" s="18"/>
      <c r="C50" s="15">
        <v>0</v>
      </c>
      <c r="D50" s="154">
        <v>0</v>
      </c>
      <c r="E50" s="154">
        <v>0</v>
      </c>
      <c r="F50" s="154">
        <v>0</v>
      </c>
      <c r="G50" s="154">
        <v>0</v>
      </c>
      <c r="H50" s="154">
        <v>0</v>
      </c>
      <c r="I50" s="15">
        <v>0</v>
      </c>
      <c r="J50" s="17">
        <v>0</v>
      </c>
      <c r="K50" s="47">
        <f t="shared" ref="K50" si="31">SUM(C50:J50)</f>
        <v>0</v>
      </c>
      <c r="L50" s="2"/>
      <c r="M50" s="706">
        <v>0</v>
      </c>
      <c r="N50" s="174">
        <v>0</v>
      </c>
      <c r="O50" s="730">
        <v>0</v>
      </c>
      <c r="P50" s="724">
        <f t="shared" si="2"/>
        <v>0</v>
      </c>
    </row>
    <row r="51" spans="2:16" s="1" customFormat="1" x14ac:dyDescent="0.25">
      <c r="B51" s="18" t="s">
        <v>140</v>
      </c>
      <c r="C51" s="15">
        <v>0</v>
      </c>
      <c r="D51" s="154">
        <v>0</v>
      </c>
      <c r="E51" s="154">
        <v>0</v>
      </c>
      <c r="F51" s="154">
        <v>0</v>
      </c>
      <c r="G51" s="154">
        <v>0</v>
      </c>
      <c r="H51" s="154">
        <v>0</v>
      </c>
      <c r="I51" s="15">
        <v>0</v>
      </c>
      <c r="J51" s="17">
        <v>0</v>
      </c>
      <c r="K51" s="47">
        <f t="shared" ref="K51" si="32">SUM(C51:J51)</f>
        <v>0</v>
      </c>
      <c r="L51" s="2"/>
      <c r="M51" s="706">
        <v>0</v>
      </c>
      <c r="N51" s="174">
        <v>0</v>
      </c>
      <c r="O51" s="730">
        <v>0</v>
      </c>
      <c r="P51" s="724">
        <f t="shared" si="2"/>
        <v>0</v>
      </c>
    </row>
    <row r="52" spans="2:16" s="1" customFormat="1" x14ac:dyDescent="0.25">
      <c r="B52" s="18"/>
      <c r="C52" s="15">
        <v>0</v>
      </c>
      <c r="D52" s="154">
        <v>0</v>
      </c>
      <c r="E52" s="154">
        <v>0</v>
      </c>
      <c r="F52" s="154">
        <v>0</v>
      </c>
      <c r="G52" s="154">
        <v>0</v>
      </c>
      <c r="H52" s="154">
        <v>0</v>
      </c>
      <c r="I52" s="15">
        <v>0</v>
      </c>
      <c r="J52" s="17">
        <v>0</v>
      </c>
      <c r="K52" s="47">
        <f t="shared" ref="K52" si="33">SUM(C52:J52)</f>
        <v>0</v>
      </c>
      <c r="L52" s="2"/>
      <c r="M52" s="706">
        <v>0</v>
      </c>
      <c r="N52" s="174">
        <v>0</v>
      </c>
      <c r="O52" s="730">
        <v>0</v>
      </c>
      <c r="P52" s="724">
        <f t="shared" si="2"/>
        <v>0</v>
      </c>
    </row>
    <row r="53" spans="2:16" s="1" customFormat="1" x14ac:dyDescent="0.25">
      <c r="B53" s="19" t="s">
        <v>141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700</v>
      </c>
      <c r="I53" s="15">
        <v>0</v>
      </c>
      <c r="J53" s="20">
        <v>0</v>
      </c>
      <c r="K53" s="46">
        <f t="shared" ref="K53:K56" si="34">SUM(C53:J53)</f>
        <v>700</v>
      </c>
      <c r="L53" s="2"/>
      <c r="M53" s="706">
        <v>0</v>
      </c>
      <c r="N53" s="174">
        <v>0</v>
      </c>
      <c r="O53" s="730">
        <v>0</v>
      </c>
      <c r="P53" s="724">
        <f t="shared" si="2"/>
        <v>700</v>
      </c>
    </row>
    <row r="54" spans="2:16" s="1" customFormat="1" x14ac:dyDescent="0.25">
      <c r="B54" s="19"/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20">
        <v>0</v>
      </c>
      <c r="K54" s="46">
        <f t="shared" si="34"/>
        <v>0</v>
      </c>
      <c r="L54" s="2"/>
      <c r="M54" s="706">
        <v>0</v>
      </c>
      <c r="N54" s="174">
        <v>0</v>
      </c>
      <c r="O54" s="730">
        <v>0</v>
      </c>
      <c r="P54" s="724">
        <f t="shared" si="2"/>
        <v>0</v>
      </c>
    </row>
    <row r="55" spans="2:16" s="1" customFormat="1" x14ac:dyDescent="0.25">
      <c r="B55" s="19" t="s">
        <v>142</v>
      </c>
      <c r="C55" s="15">
        <v>0</v>
      </c>
      <c r="D55" s="15">
        <v>0</v>
      </c>
      <c r="E55" s="15">
        <v>0</v>
      </c>
      <c r="F55" s="16">
        <v>0</v>
      </c>
      <c r="G55" s="16">
        <v>0</v>
      </c>
      <c r="H55" s="15">
        <v>0</v>
      </c>
      <c r="I55" s="15">
        <v>0</v>
      </c>
      <c r="J55" s="17">
        <v>0</v>
      </c>
      <c r="K55" s="46">
        <f t="shared" si="34"/>
        <v>0</v>
      </c>
      <c r="L55" s="2"/>
      <c r="M55" s="706">
        <v>0</v>
      </c>
      <c r="N55" s="174">
        <v>0</v>
      </c>
      <c r="O55" s="730">
        <v>0</v>
      </c>
      <c r="P55" s="724">
        <f t="shared" si="2"/>
        <v>0</v>
      </c>
    </row>
    <row r="56" spans="2:16" s="1" customFormat="1" x14ac:dyDescent="0.25">
      <c r="B56" s="19"/>
      <c r="C56" s="15">
        <v>0</v>
      </c>
      <c r="D56" s="15">
        <v>0</v>
      </c>
      <c r="E56" s="15">
        <v>0</v>
      </c>
      <c r="F56" s="16">
        <v>0</v>
      </c>
      <c r="G56" s="16">
        <v>0</v>
      </c>
      <c r="H56" s="15">
        <v>0</v>
      </c>
      <c r="I56" s="15">
        <v>0</v>
      </c>
      <c r="J56" s="17">
        <v>0</v>
      </c>
      <c r="K56" s="46">
        <f t="shared" si="34"/>
        <v>0</v>
      </c>
      <c r="L56" s="2"/>
      <c r="M56" s="706">
        <v>0</v>
      </c>
      <c r="N56" s="174">
        <v>0</v>
      </c>
      <c r="O56" s="730">
        <v>0</v>
      </c>
      <c r="P56" s="726">
        <f t="shared" si="2"/>
        <v>0</v>
      </c>
    </row>
    <row r="57" spans="2:16" s="1" customFormat="1" x14ac:dyDescent="0.25">
      <c r="B57" s="947" t="s">
        <v>396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20">
        <v>0</v>
      </c>
      <c r="K57" s="46">
        <f t="shared" ref="K57:K60" si="35">SUM(C57:J57)</f>
        <v>0</v>
      </c>
      <c r="L57" s="2"/>
      <c r="M57" s="706">
        <v>0</v>
      </c>
      <c r="N57" s="174">
        <v>0</v>
      </c>
      <c r="O57" s="730">
        <v>0</v>
      </c>
      <c r="P57" s="724">
        <f t="shared" ref="P57:P60" si="36">K57+M57+N57+O57</f>
        <v>0</v>
      </c>
    </row>
    <row r="58" spans="2:16" s="1" customFormat="1" x14ac:dyDescent="0.25">
      <c r="B58" s="947"/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20">
        <v>0</v>
      </c>
      <c r="K58" s="46">
        <f t="shared" si="35"/>
        <v>0</v>
      </c>
      <c r="L58" s="2"/>
      <c r="M58" s="706">
        <v>0</v>
      </c>
      <c r="N58" s="174">
        <v>0</v>
      </c>
      <c r="O58" s="730">
        <v>0</v>
      </c>
      <c r="P58" s="724">
        <f t="shared" si="36"/>
        <v>0</v>
      </c>
    </row>
    <row r="59" spans="2:16" s="1" customFormat="1" x14ac:dyDescent="0.25">
      <c r="B59" s="947" t="s">
        <v>397</v>
      </c>
      <c r="C59" s="15">
        <v>0</v>
      </c>
      <c r="D59" s="15">
        <v>0</v>
      </c>
      <c r="E59" s="15">
        <v>0</v>
      </c>
      <c r="F59" s="16">
        <v>0</v>
      </c>
      <c r="G59" s="16">
        <v>0</v>
      </c>
      <c r="H59" s="15">
        <v>0</v>
      </c>
      <c r="I59" s="15">
        <v>0</v>
      </c>
      <c r="J59" s="17">
        <v>0</v>
      </c>
      <c r="K59" s="46">
        <f t="shared" si="35"/>
        <v>0</v>
      </c>
      <c r="L59" s="2"/>
      <c r="M59" s="706">
        <v>0</v>
      </c>
      <c r="N59" s="174">
        <v>0</v>
      </c>
      <c r="O59" s="730">
        <v>0</v>
      </c>
      <c r="P59" s="724">
        <f t="shared" si="36"/>
        <v>0</v>
      </c>
    </row>
    <row r="60" spans="2:16" s="1" customFormat="1" x14ac:dyDescent="0.25">
      <c r="B60" s="947"/>
      <c r="C60" s="15">
        <v>0</v>
      </c>
      <c r="D60" s="15">
        <v>0</v>
      </c>
      <c r="E60" s="15">
        <v>0</v>
      </c>
      <c r="F60" s="16">
        <v>0</v>
      </c>
      <c r="G60" s="16">
        <v>0</v>
      </c>
      <c r="H60" s="15">
        <v>0</v>
      </c>
      <c r="I60" s="15">
        <v>0</v>
      </c>
      <c r="J60" s="17">
        <v>0</v>
      </c>
      <c r="K60" s="46">
        <f t="shared" si="35"/>
        <v>0</v>
      </c>
      <c r="L60" s="2"/>
      <c r="M60" s="706">
        <v>0</v>
      </c>
      <c r="N60" s="174">
        <v>0</v>
      </c>
      <c r="O60" s="730">
        <v>0</v>
      </c>
      <c r="P60" s="726">
        <f t="shared" si="36"/>
        <v>0</v>
      </c>
    </row>
    <row r="61" spans="2:16" s="1" customFormat="1" x14ac:dyDescent="0.25">
      <c r="B61" s="948" t="s">
        <v>398</v>
      </c>
      <c r="C61" s="15">
        <v>0</v>
      </c>
      <c r="D61" s="15">
        <v>0</v>
      </c>
      <c r="E61" s="15">
        <v>0</v>
      </c>
      <c r="F61" s="15">
        <v>200</v>
      </c>
      <c r="G61" s="15">
        <v>0</v>
      </c>
      <c r="H61" s="15">
        <v>0</v>
      </c>
      <c r="I61" s="15">
        <v>0</v>
      </c>
      <c r="J61" s="20">
        <v>0</v>
      </c>
      <c r="K61" s="46">
        <f t="shared" ref="K61:K64" si="37">SUM(C61:J61)</f>
        <v>200</v>
      </c>
      <c r="L61" s="2"/>
      <c r="M61" s="706">
        <v>0</v>
      </c>
      <c r="N61" s="174">
        <v>0</v>
      </c>
      <c r="O61" s="730">
        <v>0</v>
      </c>
      <c r="P61" s="724">
        <f t="shared" ref="P61:P64" si="38">K61+M61+N61+O61</f>
        <v>200</v>
      </c>
    </row>
    <row r="62" spans="2:16" s="1" customFormat="1" x14ac:dyDescent="0.25">
      <c r="B62" s="948"/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20">
        <v>0</v>
      </c>
      <c r="K62" s="46">
        <f t="shared" si="37"/>
        <v>0</v>
      </c>
      <c r="L62" s="2"/>
      <c r="M62" s="706">
        <v>0</v>
      </c>
      <c r="N62" s="174">
        <v>0</v>
      </c>
      <c r="O62" s="730">
        <v>0</v>
      </c>
      <c r="P62" s="724">
        <f t="shared" si="38"/>
        <v>0</v>
      </c>
    </row>
    <row r="63" spans="2:16" s="1" customFormat="1" x14ac:dyDescent="0.25">
      <c r="B63" s="948" t="s">
        <v>399</v>
      </c>
      <c r="C63" s="15">
        <v>0</v>
      </c>
      <c r="D63" s="15">
        <v>0</v>
      </c>
      <c r="E63" s="15">
        <v>0</v>
      </c>
      <c r="F63" s="16">
        <v>0</v>
      </c>
      <c r="G63" s="16">
        <v>0</v>
      </c>
      <c r="H63" s="15">
        <v>0</v>
      </c>
      <c r="I63" s="15">
        <v>0</v>
      </c>
      <c r="J63" s="17">
        <v>0</v>
      </c>
      <c r="K63" s="46">
        <f t="shared" si="37"/>
        <v>0</v>
      </c>
      <c r="L63" s="2"/>
      <c r="M63" s="706">
        <v>0</v>
      </c>
      <c r="N63" s="174">
        <v>0</v>
      </c>
      <c r="O63" s="730">
        <v>0</v>
      </c>
      <c r="P63" s="724">
        <f t="shared" si="38"/>
        <v>0</v>
      </c>
    </row>
    <row r="64" spans="2:16" s="1" customFormat="1" x14ac:dyDescent="0.25">
      <c r="B64" s="948"/>
      <c r="C64" s="15">
        <v>0</v>
      </c>
      <c r="D64" s="15">
        <v>0</v>
      </c>
      <c r="E64" s="15">
        <v>0</v>
      </c>
      <c r="F64" s="16">
        <v>0</v>
      </c>
      <c r="G64" s="16">
        <v>0</v>
      </c>
      <c r="H64" s="15">
        <v>0</v>
      </c>
      <c r="I64" s="15">
        <v>0</v>
      </c>
      <c r="J64" s="17">
        <v>0</v>
      </c>
      <c r="K64" s="46">
        <f t="shared" si="37"/>
        <v>0</v>
      </c>
      <c r="L64" s="2"/>
      <c r="M64" s="706">
        <v>0</v>
      </c>
      <c r="N64" s="174">
        <v>0</v>
      </c>
      <c r="O64" s="730">
        <v>0</v>
      </c>
      <c r="P64" s="726">
        <f t="shared" si="38"/>
        <v>0</v>
      </c>
    </row>
    <row r="65" spans="2:16" s="1" customFormat="1" x14ac:dyDescent="0.25">
      <c r="B65" s="872" t="s">
        <v>370</v>
      </c>
      <c r="C65" s="15">
        <v>0</v>
      </c>
      <c r="D65" s="15">
        <v>0</v>
      </c>
      <c r="E65" s="15">
        <v>0</v>
      </c>
      <c r="F65" s="15"/>
      <c r="G65" s="15">
        <v>700</v>
      </c>
      <c r="H65" s="15">
        <v>0</v>
      </c>
      <c r="I65" s="15">
        <v>0</v>
      </c>
      <c r="J65" s="20">
        <v>0</v>
      </c>
      <c r="K65" s="46">
        <f t="shared" ref="K65" si="39">SUM(C65:J65)</f>
        <v>700</v>
      </c>
      <c r="L65" s="2"/>
      <c r="M65" s="706">
        <v>0</v>
      </c>
      <c r="N65" s="174">
        <v>0</v>
      </c>
      <c r="O65" s="730">
        <v>0</v>
      </c>
      <c r="P65" s="724">
        <f>K65+M65+N65+O65</f>
        <v>700</v>
      </c>
    </row>
    <row r="66" spans="2:16" s="1" customFormat="1" x14ac:dyDescent="0.25">
      <c r="B66" s="872"/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20">
        <v>0</v>
      </c>
      <c r="K66" s="46">
        <f>SUM(C66:J66)</f>
        <v>0</v>
      </c>
      <c r="L66" s="2"/>
      <c r="M66" s="706">
        <v>0</v>
      </c>
      <c r="N66" s="174">
        <v>0</v>
      </c>
      <c r="O66" s="730">
        <v>0</v>
      </c>
      <c r="P66" s="724">
        <f>K66+M66+N66+O66</f>
        <v>0</v>
      </c>
    </row>
    <row r="67" spans="2:16" s="1" customFormat="1" x14ac:dyDescent="0.25">
      <c r="B67" s="872" t="s">
        <v>371</v>
      </c>
      <c r="C67" s="15">
        <v>0</v>
      </c>
      <c r="D67" s="15">
        <v>0</v>
      </c>
      <c r="E67" s="15">
        <v>0</v>
      </c>
      <c r="F67" s="16">
        <v>0</v>
      </c>
      <c r="G67" s="16">
        <v>0</v>
      </c>
      <c r="H67" s="15">
        <v>0</v>
      </c>
      <c r="I67" s="15">
        <v>0</v>
      </c>
      <c r="J67" s="17">
        <v>0</v>
      </c>
      <c r="K67" s="46">
        <f>SUM(C67:J67)</f>
        <v>0</v>
      </c>
      <c r="L67" s="2"/>
      <c r="M67" s="706">
        <v>0</v>
      </c>
      <c r="N67" s="174">
        <v>0</v>
      </c>
      <c r="O67" s="730">
        <v>0</v>
      </c>
      <c r="P67" s="724">
        <f>K67+M67+N67+O67</f>
        <v>0</v>
      </c>
    </row>
    <row r="68" spans="2:16" s="1" customFormat="1" ht="15.75" thickBot="1" x14ac:dyDescent="0.3">
      <c r="B68" s="872"/>
      <c r="C68" s="15">
        <v>0</v>
      </c>
      <c r="D68" s="15">
        <v>0</v>
      </c>
      <c r="E68" s="15">
        <v>0</v>
      </c>
      <c r="F68" s="16">
        <v>0</v>
      </c>
      <c r="G68" s="16">
        <v>0</v>
      </c>
      <c r="H68" s="15">
        <v>0</v>
      </c>
      <c r="I68" s="15">
        <v>0</v>
      </c>
      <c r="J68" s="17">
        <v>0</v>
      </c>
      <c r="K68" s="46">
        <f>SUM(C68:J68)</f>
        <v>0</v>
      </c>
      <c r="L68" s="2"/>
      <c r="M68" s="707">
        <v>0</v>
      </c>
      <c r="N68" s="398">
        <v>0</v>
      </c>
      <c r="O68" s="732">
        <v>0</v>
      </c>
      <c r="P68" s="726">
        <f t="shared" ref="P68" si="40">K68+M68+N68+O68</f>
        <v>0</v>
      </c>
    </row>
    <row r="69" spans="2:16" s="1" customFormat="1" ht="15.75" thickBot="1" x14ac:dyDescent="0.3">
      <c r="B69" s="192" t="s">
        <v>143</v>
      </c>
      <c r="C69" s="193">
        <f>C41+C45+C49+C53+C65+C57+C61</f>
        <v>700</v>
      </c>
      <c r="D69" s="193">
        <f t="shared" ref="D69:J69" si="41">D41+D45+D49+D53+D65+D57+D61</f>
        <v>700</v>
      </c>
      <c r="E69" s="193">
        <f t="shared" si="41"/>
        <v>700</v>
      </c>
      <c r="F69" s="193">
        <f t="shared" si="41"/>
        <v>700</v>
      </c>
      <c r="G69" s="193">
        <f t="shared" si="41"/>
        <v>700</v>
      </c>
      <c r="H69" s="193">
        <f t="shared" si="41"/>
        <v>700</v>
      </c>
      <c r="I69" s="193">
        <f t="shared" si="41"/>
        <v>0</v>
      </c>
      <c r="J69" s="318">
        <f t="shared" si="41"/>
        <v>0</v>
      </c>
      <c r="K69" s="320">
        <f t="shared" ref="K69" si="42">K41+K45+K49+K53+K65+K57+K61</f>
        <v>4200</v>
      </c>
      <c r="L69" s="2"/>
      <c r="M69" s="708">
        <f t="shared" ref="M69:O69" si="43">M41+M45+M49+M53+M65+M57+M61</f>
        <v>0</v>
      </c>
      <c r="N69" s="319">
        <f t="shared" si="43"/>
        <v>0</v>
      </c>
      <c r="O69" s="319">
        <f t="shared" si="43"/>
        <v>0</v>
      </c>
      <c r="P69" s="319">
        <f t="shared" ref="P69" si="44">P41+P45+P49+P53+P65+P57+P61</f>
        <v>4200</v>
      </c>
    </row>
    <row r="70" spans="2:16" s="1" customFormat="1" ht="15.75" thickBot="1" x14ac:dyDescent="0.3">
      <c r="B70" s="192"/>
      <c r="C70" s="193">
        <f>C42+C46+C50+C54+C66+C58+C62</f>
        <v>0</v>
      </c>
      <c r="D70" s="193">
        <f t="shared" ref="D70:J70" si="45">D42+D46+D50+D54+D66+D58+D62</f>
        <v>0</v>
      </c>
      <c r="E70" s="193">
        <f t="shared" si="45"/>
        <v>0</v>
      </c>
      <c r="F70" s="193">
        <f t="shared" si="45"/>
        <v>0</v>
      </c>
      <c r="G70" s="193">
        <f t="shared" si="45"/>
        <v>0</v>
      </c>
      <c r="H70" s="193">
        <f t="shared" si="45"/>
        <v>0</v>
      </c>
      <c r="I70" s="193">
        <f t="shared" si="45"/>
        <v>0</v>
      </c>
      <c r="J70" s="318">
        <f t="shared" si="45"/>
        <v>0</v>
      </c>
      <c r="K70" s="320">
        <f t="shared" ref="K70" si="46">K42+K46+K50+K54+K66+K58+K62</f>
        <v>0</v>
      </c>
      <c r="L70" s="2"/>
      <c r="M70" s="708">
        <f t="shared" ref="M70:O70" si="47">M42+M46+M50+M54+M66+M58+M62</f>
        <v>0</v>
      </c>
      <c r="N70" s="319">
        <f t="shared" si="47"/>
        <v>0</v>
      </c>
      <c r="O70" s="319">
        <f t="shared" si="47"/>
        <v>0</v>
      </c>
      <c r="P70" s="319">
        <f t="shared" ref="P70" si="48">P42+P46+P50+P54+P66+P58+P62</f>
        <v>0</v>
      </c>
    </row>
    <row r="71" spans="2:16" s="1" customFormat="1" ht="15.75" thickBot="1" x14ac:dyDescent="0.3">
      <c r="B71" s="190" t="s">
        <v>144</v>
      </c>
      <c r="C71" s="193">
        <f>C43+C47+C51+C55+C67+C59+C63</f>
        <v>0</v>
      </c>
      <c r="D71" s="193">
        <f t="shared" ref="D71:J71" si="49">D43+D47+D51+D55+D67+D59+D63</f>
        <v>0</v>
      </c>
      <c r="E71" s="193">
        <f t="shared" si="49"/>
        <v>0</v>
      </c>
      <c r="F71" s="193">
        <f t="shared" si="49"/>
        <v>0</v>
      </c>
      <c r="G71" s="193">
        <f t="shared" si="49"/>
        <v>0</v>
      </c>
      <c r="H71" s="193">
        <f t="shared" si="49"/>
        <v>0</v>
      </c>
      <c r="I71" s="193">
        <f t="shared" si="49"/>
        <v>0</v>
      </c>
      <c r="J71" s="318">
        <f t="shared" si="49"/>
        <v>0</v>
      </c>
      <c r="K71" s="320">
        <f t="shared" ref="K71" si="50">K43+K47+K51+K55+K67+K59+K63</f>
        <v>0</v>
      </c>
      <c r="L71" s="2"/>
      <c r="M71" s="708">
        <f t="shared" ref="M71:O71" si="51">M43+M47+M51+M55+M67+M59+M63</f>
        <v>0</v>
      </c>
      <c r="N71" s="319">
        <f t="shared" si="51"/>
        <v>0</v>
      </c>
      <c r="O71" s="319">
        <f t="shared" si="51"/>
        <v>0</v>
      </c>
      <c r="P71" s="319">
        <f t="shared" ref="P71" si="52">P43+P47+P51+P55+P67+P59+P63</f>
        <v>0</v>
      </c>
    </row>
    <row r="72" spans="2:16" s="1" customFormat="1" ht="15.75" thickBot="1" x14ac:dyDescent="0.3">
      <c r="B72" s="190"/>
      <c r="C72" s="191">
        <f>C44+C48+C52+C56+C68+C60+C64</f>
        <v>0</v>
      </c>
      <c r="D72" s="191">
        <f t="shared" ref="D72:J72" si="53">D44+D48+D52+D56+D68+D60+D64</f>
        <v>0</v>
      </c>
      <c r="E72" s="191">
        <f t="shared" si="53"/>
        <v>0</v>
      </c>
      <c r="F72" s="191">
        <f t="shared" si="53"/>
        <v>0</v>
      </c>
      <c r="G72" s="191">
        <f t="shared" si="53"/>
        <v>0</v>
      </c>
      <c r="H72" s="191">
        <f t="shared" si="53"/>
        <v>0</v>
      </c>
      <c r="I72" s="191">
        <f t="shared" si="53"/>
        <v>0</v>
      </c>
      <c r="J72" s="319">
        <f t="shared" si="53"/>
        <v>0</v>
      </c>
      <c r="K72" s="321">
        <f t="shared" ref="K72" si="54">K44+K48+K52+K56+K68+K60+K64</f>
        <v>0</v>
      </c>
      <c r="L72" s="2"/>
      <c r="M72" s="708">
        <f t="shared" ref="M72:O72" si="55">M44+M48+M52+M56+M68+M60+M64</f>
        <v>0</v>
      </c>
      <c r="N72" s="319">
        <f t="shared" si="55"/>
        <v>0</v>
      </c>
      <c r="O72" s="319">
        <f t="shared" si="55"/>
        <v>0</v>
      </c>
      <c r="P72" s="319">
        <f t="shared" ref="P72" si="56">P44+P48+P52+P56+P68+P60+P64</f>
        <v>0</v>
      </c>
    </row>
    <row r="73" spans="2:16" s="114" customFormat="1" ht="3" customHeight="1" thickBot="1" x14ac:dyDescent="0.35">
      <c r="B73" s="115"/>
      <c r="C73" s="116"/>
      <c r="D73" s="117"/>
      <c r="E73" s="117"/>
      <c r="G73" s="115"/>
      <c r="H73" s="115"/>
      <c r="I73" s="116"/>
      <c r="J73" s="117"/>
      <c r="K73" s="117"/>
      <c r="L73" s="118"/>
      <c r="M73" s="113"/>
      <c r="N73" s="73"/>
    </row>
    <row r="74" spans="2:16" s="1" customFormat="1" ht="15.75" thickBot="1" x14ac:dyDescent="0.3">
      <c r="B74" s="190" t="s">
        <v>145</v>
      </c>
      <c r="C74" s="191">
        <f t="shared" ref="C74:K74" si="57">C37+C69</f>
        <v>1900</v>
      </c>
      <c r="D74" s="191">
        <f t="shared" si="57"/>
        <v>1900</v>
      </c>
      <c r="E74" s="191">
        <f t="shared" si="57"/>
        <v>1900</v>
      </c>
      <c r="F74" s="191">
        <f t="shared" si="57"/>
        <v>1900</v>
      </c>
      <c r="G74" s="191">
        <f t="shared" si="57"/>
        <v>1900</v>
      </c>
      <c r="H74" s="191">
        <f t="shared" si="57"/>
        <v>700</v>
      </c>
      <c r="I74" s="191">
        <f t="shared" si="57"/>
        <v>0</v>
      </c>
      <c r="J74" s="319">
        <f t="shared" si="57"/>
        <v>0</v>
      </c>
      <c r="K74" s="321">
        <f t="shared" si="57"/>
        <v>10200</v>
      </c>
      <c r="L74" s="2"/>
      <c r="M74" s="734">
        <f t="shared" ref="M74:O77" si="58">M37+M69</f>
        <v>0</v>
      </c>
      <c r="N74" s="191">
        <f t="shared" si="58"/>
        <v>0</v>
      </c>
      <c r="O74" s="709">
        <f t="shared" si="58"/>
        <v>0</v>
      </c>
      <c r="P74" s="729">
        <f t="shared" si="2"/>
        <v>10200</v>
      </c>
    </row>
    <row r="75" spans="2:16" s="1" customFormat="1" ht="15.75" thickBot="1" x14ac:dyDescent="0.3">
      <c r="B75" s="190"/>
      <c r="C75" s="191">
        <f t="shared" ref="C75:K75" si="59">C38+C70</f>
        <v>0</v>
      </c>
      <c r="D75" s="191">
        <f t="shared" si="59"/>
        <v>0</v>
      </c>
      <c r="E75" s="191">
        <f t="shared" si="59"/>
        <v>0</v>
      </c>
      <c r="F75" s="191">
        <f t="shared" si="59"/>
        <v>0</v>
      </c>
      <c r="G75" s="191">
        <f t="shared" si="59"/>
        <v>0</v>
      </c>
      <c r="H75" s="191">
        <f t="shared" si="59"/>
        <v>0</v>
      </c>
      <c r="I75" s="191">
        <f t="shared" si="59"/>
        <v>0</v>
      </c>
      <c r="J75" s="319">
        <f t="shared" si="59"/>
        <v>0</v>
      </c>
      <c r="K75" s="321">
        <f t="shared" si="59"/>
        <v>0</v>
      </c>
      <c r="L75" s="2"/>
      <c r="M75" s="734">
        <f t="shared" si="58"/>
        <v>0</v>
      </c>
      <c r="N75" s="191">
        <f t="shared" si="58"/>
        <v>0</v>
      </c>
      <c r="O75" s="709">
        <f t="shared" si="58"/>
        <v>0</v>
      </c>
      <c r="P75" s="729">
        <f t="shared" si="2"/>
        <v>0</v>
      </c>
    </row>
    <row r="76" spans="2:16" s="1" customFormat="1" ht="15.75" thickBot="1" x14ac:dyDescent="0.3">
      <c r="B76" s="322" t="s">
        <v>146</v>
      </c>
      <c r="C76" s="323">
        <f t="shared" ref="C76:K76" si="60">C39+C71</f>
        <v>0</v>
      </c>
      <c r="D76" s="323">
        <f t="shared" si="60"/>
        <v>0</v>
      </c>
      <c r="E76" s="323">
        <f t="shared" si="60"/>
        <v>0</v>
      </c>
      <c r="F76" s="323">
        <f t="shared" si="60"/>
        <v>0</v>
      </c>
      <c r="G76" s="323">
        <f t="shared" si="60"/>
        <v>0</v>
      </c>
      <c r="H76" s="323">
        <f t="shared" si="60"/>
        <v>0</v>
      </c>
      <c r="I76" s="323">
        <f t="shared" si="60"/>
        <v>0</v>
      </c>
      <c r="J76" s="324">
        <f t="shared" si="60"/>
        <v>0</v>
      </c>
      <c r="K76" s="325">
        <f t="shared" si="60"/>
        <v>0</v>
      </c>
      <c r="L76" s="2"/>
      <c r="M76" s="734">
        <f t="shared" si="58"/>
        <v>0</v>
      </c>
      <c r="N76" s="191">
        <f t="shared" si="58"/>
        <v>0</v>
      </c>
      <c r="O76" s="709">
        <f t="shared" si="58"/>
        <v>0</v>
      </c>
      <c r="P76" s="729">
        <f t="shared" si="2"/>
        <v>0</v>
      </c>
    </row>
    <row r="77" spans="2:16" s="1" customFormat="1" ht="15.75" thickBot="1" x14ac:dyDescent="0.3">
      <c r="B77" s="322"/>
      <c r="C77" s="323">
        <f t="shared" ref="C77:K77" si="61">C40+C72</f>
        <v>0</v>
      </c>
      <c r="D77" s="323">
        <f t="shared" si="61"/>
        <v>0</v>
      </c>
      <c r="E77" s="323">
        <f t="shared" si="61"/>
        <v>0</v>
      </c>
      <c r="F77" s="323">
        <f t="shared" si="61"/>
        <v>0</v>
      </c>
      <c r="G77" s="323">
        <f t="shared" si="61"/>
        <v>0</v>
      </c>
      <c r="H77" s="323">
        <f t="shared" si="61"/>
        <v>0</v>
      </c>
      <c r="I77" s="323">
        <f t="shared" si="61"/>
        <v>0</v>
      </c>
      <c r="J77" s="324">
        <f t="shared" si="61"/>
        <v>0</v>
      </c>
      <c r="K77" s="325">
        <f t="shared" si="61"/>
        <v>0</v>
      </c>
      <c r="L77" s="2"/>
      <c r="M77" s="735">
        <f t="shared" si="58"/>
        <v>0</v>
      </c>
      <c r="N77" s="323">
        <f t="shared" si="58"/>
        <v>0</v>
      </c>
      <c r="O77" s="736">
        <f t="shared" si="58"/>
        <v>0</v>
      </c>
      <c r="P77" s="729">
        <f t="shared" si="2"/>
        <v>0</v>
      </c>
    </row>
    <row r="78" spans="2:16" s="114" customFormat="1" ht="3" customHeight="1" thickBot="1" x14ac:dyDescent="0.35">
      <c r="B78" s="115"/>
      <c r="C78" s="116"/>
      <c r="D78" s="117"/>
      <c r="E78" s="117"/>
      <c r="G78" s="115"/>
      <c r="H78" s="115"/>
      <c r="I78" s="116"/>
      <c r="J78" s="117"/>
      <c r="K78" s="117"/>
      <c r="L78" s="118"/>
      <c r="M78" s="113"/>
      <c r="N78" s="73"/>
    </row>
    <row r="79" spans="2:16" s="1" customFormat="1" ht="15.75" thickBot="1" x14ac:dyDescent="0.3">
      <c r="B79" s="194" t="s">
        <v>2</v>
      </c>
      <c r="C79" s="195">
        <f>C74+C75+C77+C76</f>
        <v>1900</v>
      </c>
      <c r="D79" s="195">
        <f t="shared" ref="D79:O79" si="62">D74+D75+D77+D76</f>
        <v>1900</v>
      </c>
      <c r="E79" s="195">
        <f t="shared" si="62"/>
        <v>1900</v>
      </c>
      <c r="F79" s="195">
        <f t="shared" si="62"/>
        <v>1900</v>
      </c>
      <c r="G79" s="195">
        <f t="shared" si="62"/>
        <v>1900</v>
      </c>
      <c r="H79" s="195">
        <f t="shared" si="62"/>
        <v>700</v>
      </c>
      <c r="I79" s="195">
        <f t="shared" si="62"/>
        <v>0</v>
      </c>
      <c r="J79" s="195">
        <f t="shared" si="62"/>
        <v>0</v>
      </c>
      <c r="K79" s="580">
        <f t="shared" si="62"/>
        <v>10200</v>
      </c>
      <c r="L79" s="2"/>
      <c r="M79" s="710">
        <f t="shared" si="62"/>
        <v>0</v>
      </c>
      <c r="N79" s="195">
        <f t="shared" si="62"/>
        <v>0</v>
      </c>
      <c r="O79" s="580">
        <f t="shared" si="62"/>
        <v>0</v>
      </c>
      <c r="P79" s="737">
        <f t="shared" si="2"/>
        <v>10200</v>
      </c>
    </row>
    <row r="80" spans="2:16" s="114" customFormat="1" ht="3" customHeight="1" thickBot="1" x14ac:dyDescent="0.35">
      <c r="B80" s="115"/>
      <c r="C80" s="116"/>
      <c r="D80" s="117"/>
      <c r="E80" s="117"/>
      <c r="G80" s="115"/>
      <c r="H80" s="115"/>
      <c r="I80" s="116"/>
      <c r="J80" s="117"/>
      <c r="K80" s="117"/>
      <c r="L80" s="118"/>
      <c r="M80" s="113"/>
      <c r="N80" s="73"/>
    </row>
    <row r="81" spans="2:16" s="1" customFormat="1" ht="15.75" thickBot="1" x14ac:dyDescent="0.3">
      <c r="B81" s="239" t="s">
        <v>72</v>
      </c>
      <c r="C81" s="897">
        <f>(C79*0.651*5)/C82</f>
        <v>6871.6666666666661</v>
      </c>
      <c r="D81" s="897">
        <f t="shared" ref="D81:J81" si="63">(D79*0.651*5)/D82</f>
        <v>6871.6666666666661</v>
      </c>
      <c r="E81" s="897">
        <f t="shared" si="63"/>
        <v>6871.6666666666661</v>
      </c>
      <c r="F81" s="897">
        <f t="shared" si="63"/>
        <v>6871.6666666666661</v>
      </c>
      <c r="G81" s="897">
        <f t="shared" si="63"/>
        <v>6871.6666666666661</v>
      </c>
      <c r="H81" s="897">
        <f t="shared" si="63"/>
        <v>2531.6666666666665</v>
      </c>
      <c r="I81" s="897">
        <f>(I79*0.651*5)/I82</f>
        <v>0</v>
      </c>
      <c r="J81" s="897">
        <f t="shared" si="63"/>
        <v>0</v>
      </c>
      <c r="K81" s="898">
        <f>(K79*0.651*5)/K82</f>
        <v>36890</v>
      </c>
      <c r="L81" s="2"/>
      <c r="M81" s="714">
        <f>(M79*0.651*5)/M82</f>
        <v>0</v>
      </c>
      <c r="N81" s="714">
        <f>(N79*0.651*5)/N82</f>
        <v>0</v>
      </c>
      <c r="O81" s="714">
        <f>(O79*0.651*5)/O82</f>
        <v>0</v>
      </c>
      <c r="P81" s="714">
        <f>(P79*0.651*5)/P82</f>
        <v>36890</v>
      </c>
    </row>
    <row r="82" spans="2:16" s="1" customFormat="1" ht="15.75" thickBot="1" x14ac:dyDescent="0.3">
      <c r="B82" s="239" t="s">
        <v>102</v>
      </c>
      <c r="C82" s="578">
        <v>0.9</v>
      </c>
      <c r="D82" s="578">
        <v>0.9</v>
      </c>
      <c r="E82" s="578">
        <v>0.9</v>
      </c>
      <c r="F82" s="578">
        <v>0.9</v>
      </c>
      <c r="G82" s="578">
        <v>0.9</v>
      </c>
      <c r="H82" s="578">
        <v>0.9</v>
      </c>
      <c r="I82" s="578">
        <v>0.9</v>
      </c>
      <c r="J82" s="578">
        <v>0.9</v>
      </c>
      <c r="K82" s="579">
        <v>0.9</v>
      </c>
      <c r="L82" s="2"/>
      <c r="M82" s="715">
        <v>0.9</v>
      </c>
      <c r="N82" s="578">
        <v>0.9</v>
      </c>
      <c r="O82" s="579">
        <v>0.9</v>
      </c>
      <c r="P82" s="579">
        <v>0.9</v>
      </c>
    </row>
    <row r="83" spans="2:16" s="114" customFormat="1" ht="3" customHeight="1" x14ac:dyDescent="0.3">
      <c r="B83" s="115"/>
      <c r="C83" s="116"/>
      <c r="D83" s="117"/>
      <c r="E83" s="117"/>
      <c r="G83" s="115"/>
      <c r="H83" s="115"/>
      <c r="I83" s="116"/>
      <c r="J83" s="117"/>
      <c r="K83" s="117"/>
      <c r="L83" s="118"/>
      <c r="M83" s="122"/>
      <c r="N83" s="123"/>
    </row>
    <row r="84" spans="2:16" s="114" customFormat="1" ht="3" customHeight="1" thickBot="1" x14ac:dyDescent="0.35">
      <c r="B84" s="115"/>
      <c r="C84" s="116"/>
      <c r="D84" s="117"/>
      <c r="E84" s="117"/>
      <c r="G84" s="115"/>
      <c r="H84" s="115"/>
      <c r="I84" s="116"/>
      <c r="J84" s="117"/>
      <c r="K84" s="117"/>
      <c r="L84" s="118"/>
      <c r="M84" s="122"/>
      <c r="N84" s="123"/>
    </row>
    <row r="85" spans="2:16" s="114" customFormat="1" ht="15.75" thickBot="1" x14ac:dyDescent="0.3">
      <c r="B85" s="894" t="s">
        <v>81</v>
      </c>
      <c r="C85" s="893">
        <f t="shared" ref="C85:K85" si="64">C8</f>
        <v>46062</v>
      </c>
      <c r="D85" s="892">
        <f t="shared" si="64"/>
        <v>46063</v>
      </c>
      <c r="E85" s="892">
        <f t="shared" si="64"/>
        <v>46064</v>
      </c>
      <c r="F85" s="892">
        <f t="shared" si="64"/>
        <v>46065</v>
      </c>
      <c r="G85" s="892">
        <f t="shared" si="64"/>
        <v>46066</v>
      </c>
      <c r="H85" s="892">
        <f t="shared" si="64"/>
        <v>46067</v>
      </c>
      <c r="I85" s="892">
        <f t="shared" si="64"/>
        <v>46068</v>
      </c>
      <c r="J85" s="895">
        <f t="shared" si="64"/>
        <v>46069</v>
      </c>
      <c r="K85" s="896" t="str">
        <f t="shared" si="64"/>
        <v>T Semanal</v>
      </c>
      <c r="L85" s="118"/>
      <c r="M85" s="888">
        <f>M8</f>
        <v>8</v>
      </c>
      <c r="N85" s="889">
        <f>N8</f>
        <v>9</v>
      </c>
      <c r="O85" s="890">
        <f>O8</f>
        <v>10</v>
      </c>
      <c r="P85" s="891" t="s">
        <v>224</v>
      </c>
    </row>
    <row r="86" spans="2:16" s="114" customFormat="1" x14ac:dyDescent="0.25">
      <c r="B86" s="414" t="s">
        <v>76</v>
      </c>
      <c r="C86" s="474">
        <v>0</v>
      </c>
      <c r="D86" s="396">
        <v>0</v>
      </c>
      <c r="E86" s="396">
        <v>0</v>
      </c>
      <c r="F86" s="396">
        <v>0</v>
      </c>
      <c r="G86" s="396">
        <v>0</v>
      </c>
      <c r="H86" s="397">
        <v>0</v>
      </c>
      <c r="I86" s="397">
        <v>0</v>
      </c>
      <c r="J86" s="531">
        <v>0</v>
      </c>
      <c r="K86" s="399">
        <f t="shared" ref="K86:K92" si="65">SUM(C86:J86)</f>
        <v>0</v>
      </c>
      <c r="L86" s="118"/>
      <c r="M86" s="474">
        <v>0</v>
      </c>
      <c r="N86" s="397">
        <v>0</v>
      </c>
      <c r="O86" s="531">
        <v>0</v>
      </c>
      <c r="P86" s="723">
        <f>K86+M86+N86+O86</f>
        <v>0</v>
      </c>
    </row>
    <row r="87" spans="2:16" s="114" customFormat="1" x14ac:dyDescent="0.25">
      <c r="B87" s="411" t="s">
        <v>112</v>
      </c>
      <c r="C87" s="475">
        <v>0</v>
      </c>
      <c r="D87" s="174">
        <v>0</v>
      </c>
      <c r="E87" s="174">
        <v>0</v>
      </c>
      <c r="F87" s="174">
        <v>0</v>
      </c>
      <c r="G87" s="174">
        <v>0</v>
      </c>
      <c r="H87" s="176">
        <v>0</v>
      </c>
      <c r="I87" s="176">
        <v>0</v>
      </c>
      <c r="J87" s="532">
        <v>0</v>
      </c>
      <c r="K87" s="476">
        <f t="shared" si="65"/>
        <v>0</v>
      </c>
      <c r="L87" s="118"/>
      <c r="M87" s="475">
        <v>0</v>
      </c>
      <c r="N87" s="176">
        <v>0</v>
      </c>
      <c r="O87" s="532">
        <v>0</v>
      </c>
      <c r="P87" s="724">
        <f t="shared" ref="P87:P89" si="66">K87+M87+N87+O87</f>
        <v>0</v>
      </c>
    </row>
    <row r="88" spans="2:16" s="114" customFormat="1" x14ac:dyDescent="0.25">
      <c r="B88" s="530" t="s">
        <v>113</v>
      </c>
      <c r="C88" s="475">
        <v>0</v>
      </c>
      <c r="D88" s="174">
        <v>0</v>
      </c>
      <c r="E88" s="174">
        <v>0</v>
      </c>
      <c r="F88" s="174">
        <v>0</v>
      </c>
      <c r="G88" s="174">
        <v>0</v>
      </c>
      <c r="H88" s="176">
        <v>0</v>
      </c>
      <c r="I88" s="176">
        <v>0</v>
      </c>
      <c r="J88" s="532">
        <v>0</v>
      </c>
      <c r="K88" s="476">
        <f t="shared" si="65"/>
        <v>0</v>
      </c>
      <c r="L88" s="118"/>
      <c r="M88" s="475">
        <v>0</v>
      </c>
      <c r="N88" s="176">
        <v>0</v>
      </c>
      <c r="O88" s="532">
        <v>0</v>
      </c>
      <c r="P88" s="724">
        <f t="shared" si="66"/>
        <v>0</v>
      </c>
    </row>
    <row r="89" spans="2:16" s="114" customFormat="1" x14ac:dyDescent="0.25">
      <c r="B89" s="887" t="s">
        <v>89</v>
      </c>
      <c r="C89" s="475">
        <v>0</v>
      </c>
      <c r="D89" s="174">
        <v>0</v>
      </c>
      <c r="E89" s="174">
        <v>0</v>
      </c>
      <c r="F89" s="174">
        <v>0</v>
      </c>
      <c r="G89" s="174">
        <v>0</v>
      </c>
      <c r="H89" s="176">
        <v>0</v>
      </c>
      <c r="I89" s="176">
        <v>0</v>
      </c>
      <c r="J89" s="532">
        <v>0</v>
      </c>
      <c r="K89" s="476">
        <f t="shared" si="65"/>
        <v>0</v>
      </c>
      <c r="L89" s="118"/>
      <c r="M89" s="475">
        <v>0</v>
      </c>
      <c r="N89" s="176">
        <v>0</v>
      </c>
      <c r="O89" s="532">
        <v>0</v>
      </c>
      <c r="P89" s="724">
        <f t="shared" si="66"/>
        <v>0</v>
      </c>
    </row>
    <row r="90" spans="2:16" s="114" customFormat="1" x14ac:dyDescent="0.25">
      <c r="B90" s="952" t="s">
        <v>372</v>
      </c>
      <c r="C90" s="475">
        <v>0</v>
      </c>
      <c r="D90" s="174">
        <v>0</v>
      </c>
      <c r="E90" s="174">
        <v>0</v>
      </c>
      <c r="F90" s="174">
        <v>0</v>
      </c>
      <c r="G90" s="174">
        <v>0</v>
      </c>
      <c r="H90" s="176">
        <v>0</v>
      </c>
      <c r="I90" s="176">
        <v>0</v>
      </c>
      <c r="J90" s="532">
        <v>0</v>
      </c>
      <c r="K90" s="476">
        <f t="shared" si="65"/>
        <v>0</v>
      </c>
      <c r="L90" s="118"/>
      <c r="M90" s="475">
        <v>0</v>
      </c>
      <c r="N90" s="176">
        <v>0</v>
      </c>
      <c r="O90" s="532">
        <v>0</v>
      </c>
      <c r="P90" s="724">
        <f>K90+M90+N90+O90</f>
        <v>0</v>
      </c>
    </row>
    <row r="91" spans="2:16" s="114" customFormat="1" x14ac:dyDescent="0.25">
      <c r="B91" s="954" t="s">
        <v>400</v>
      </c>
      <c r="C91" s="475">
        <v>0</v>
      </c>
      <c r="D91" s="174">
        <v>0</v>
      </c>
      <c r="E91" s="174">
        <v>0</v>
      </c>
      <c r="F91" s="174">
        <v>0</v>
      </c>
      <c r="G91" s="174">
        <v>0</v>
      </c>
      <c r="H91" s="176">
        <v>0</v>
      </c>
      <c r="I91" s="176">
        <v>0</v>
      </c>
      <c r="J91" s="532">
        <v>0</v>
      </c>
      <c r="K91" s="476">
        <f t="shared" si="65"/>
        <v>0</v>
      </c>
      <c r="L91" s="118"/>
      <c r="M91" s="475">
        <v>0</v>
      </c>
      <c r="N91" s="176">
        <v>0</v>
      </c>
      <c r="O91" s="532">
        <v>0</v>
      </c>
      <c r="P91" s="724">
        <f>K91+M91+N91+O91</f>
        <v>0</v>
      </c>
    </row>
    <row r="92" spans="2:16" s="114" customFormat="1" ht="15.75" thickBot="1" x14ac:dyDescent="0.3">
      <c r="B92" s="955" t="s">
        <v>401</v>
      </c>
      <c r="C92" s="949">
        <v>0</v>
      </c>
      <c r="D92" s="705">
        <v>0</v>
      </c>
      <c r="E92" s="705">
        <v>0</v>
      </c>
      <c r="F92" s="705">
        <v>0</v>
      </c>
      <c r="G92" s="705">
        <v>0</v>
      </c>
      <c r="H92" s="950">
        <v>0</v>
      </c>
      <c r="I92" s="950">
        <v>0</v>
      </c>
      <c r="J92" s="951">
        <v>0</v>
      </c>
      <c r="K92" s="325">
        <f t="shared" si="65"/>
        <v>0</v>
      </c>
      <c r="L92" s="118"/>
      <c r="M92" s="949">
        <v>0</v>
      </c>
      <c r="N92" s="950">
        <v>0</v>
      </c>
      <c r="O92" s="951">
        <v>0</v>
      </c>
      <c r="P92" s="953">
        <f>K92+M92+N92+O92</f>
        <v>0</v>
      </c>
    </row>
    <row r="93" spans="2:16" s="114" customFormat="1" ht="3" customHeight="1" thickBot="1" x14ac:dyDescent="0.35">
      <c r="B93" s="115"/>
      <c r="C93" s="116"/>
      <c r="D93" s="117"/>
      <c r="E93" s="117"/>
      <c r="G93" s="115"/>
      <c r="H93" s="115"/>
      <c r="I93" s="116"/>
      <c r="J93" s="117"/>
      <c r="K93" s="117"/>
      <c r="L93" s="118"/>
      <c r="M93" s="122"/>
      <c r="N93" s="123"/>
    </row>
    <row r="94" spans="2:16" s="114" customFormat="1" ht="15.75" thickBot="1" x14ac:dyDescent="0.3">
      <c r="B94" s="478" t="s">
        <v>77</v>
      </c>
      <c r="C94" s="477">
        <f>C86+C87+C88+C89+C92+C90+C91</f>
        <v>0</v>
      </c>
      <c r="D94" s="477">
        <f t="shared" ref="D94:J94" si="67">D86+D87+D88+D89+D92+D90+D91</f>
        <v>0</v>
      </c>
      <c r="E94" s="477">
        <f t="shared" si="67"/>
        <v>0</v>
      </c>
      <c r="F94" s="477">
        <f t="shared" si="67"/>
        <v>0</v>
      </c>
      <c r="G94" s="477">
        <f t="shared" si="67"/>
        <v>0</v>
      </c>
      <c r="H94" s="477">
        <f t="shared" si="67"/>
        <v>0</v>
      </c>
      <c r="I94" s="477">
        <f t="shared" si="67"/>
        <v>0</v>
      </c>
      <c r="J94" s="477">
        <f t="shared" si="67"/>
        <v>0</v>
      </c>
      <c r="K94" s="395">
        <f>SUM(C94:J94)</f>
        <v>0</v>
      </c>
      <c r="L94" s="118"/>
      <c r="M94" s="477">
        <f t="shared" ref="M94:O94" si="68">M86+M87+M88+M89+M92+M90+M91</f>
        <v>0</v>
      </c>
      <c r="N94" s="477">
        <f t="shared" si="68"/>
        <v>0</v>
      </c>
      <c r="O94" s="477">
        <f t="shared" si="68"/>
        <v>0</v>
      </c>
      <c r="P94" s="716">
        <f>K94+M94+N94+O94</f>
        <v>0</v>
      </c>
    </row>
    <row r="95" spans="2:16" s="1" customFormat="1" x14ac:dyDescent="0.25">
      <c r="B95" s="1" t="s">
        <v>3</v>
      </c>
      <c r="C95" s="8"/>
      <c r="D95" s="8"/>
      <c r="E95" s="8"/>
      <c r="F95" s="8"/>
      <c r="G95" s="8"/>
      <c r="H95" s="5"/>
      <c r="I95" s="5"/>
      <c r="J95" s="5"/>
      <c r="K95" s="8"/>
      <c r="L95" s="2"/>
    </row>
    <row r="96" spans="2:16" s="1" customFormat="1" x14ac:dyDescent="0.25">
      <c r="F96" s="8"/>
      <c r="G96" s="8"/>
      <c r="H96" s="5"/>
      <c r="I96" s="5"/>
      <c r="J96" s="5"/>
      <c r="K96" s="8"/>
      <c r="L96" s="2"/>
    </row>
    <row r="97" spans="2:12" s="1" customFormat="1" ht="18.75" x14ac:dyDescent="0.3">
      <c r="B97" s="12" t="s">
        <v>4</v>
      </c>
      <c r="C97" s="21" t="s">
        <v>19</v>
      </c>
      <c r="D97" s="21"/>
      <c r="E97" s="13"/>
      <c r="F97" s="13"/>
      <c r="G97" s="22" t="s">
        <v>5</v>
      </c>
      <c r="H97" s="23"/>
      <c r="I97" s="21" t="s">
        <v>20</v>
      </c>
      <c r="J97" s="23"/>
      <c r="K97" s="24"/>
      <c r="L97" s="2"/>
    </row>
    <row r="98" spans="2:12" s="1" customFormat="1" x14ac:dyDescent="0.25">
      <c r="C98" s="2"/>
      <c r="D98" s="2"/>
      <c r="E98" s="2"/>
      <c r="F98" s="2"/>
      <c r="G98" s="2"/>
      <c r="H98" s="2"/>
      <c r="I98" s="2"/>
      <c r="J98" s="2"/>
      <c r="K98" s="6"/>
      <c r="L98" s="2"/>
    </row>
    <row r="99" spans="2:12" s="1" customFormat="1" x14ac:dyDescent="0.25">
      <c r="C99" s="6"/>
      <c r="D99" s="6"/>
      <c r="E99" s="6"/>
      <c r="F99" s="6"/>
      <c r="G99" s="6"/>
      <c r="H99" s="6"/>
      <c r="I99" s="2"/>
      <c r="J99" s="2"/>
      <c r="K99" s="25"/>
      <c r="L99" s="2"/>
    </row>
    <row r="100" spans="2:12" s="1" customFormat="1" x14ac:dyDescent="0.25">
      <c r="C100" s="6"/>
      <c r="D100" s="6"/>
      <c r="E100" s="6"/>
      <c r="F100" s="6"/>
      <c r="G100" s="6"/>
      <c r="H100" s="6"/>
      <c r="I100" s="2"/>
      <c r="J100" s="2"/>
      <c r="K100" s="25"/>
      <c r="L100" s="2"/>
    </row>
    <row r="101" spans="2:12" s="1" customFormat="1" x14ac:dyDescent="0.25">
      <c r="D101" s="2"/>
      <c r="E101" s="2"/>
      <c r="F101" s="2"/>
      <c r="G101" s="2"/>
      <c r="H101" s="2"/>
      <c r="I101" s="2"/>
      <c r="J101" s="2"/>
      <c r="K101" s="2"/>
      <c r="L101" s="2"/>
    </row>
    <row r="102" spans="2:12" s="1" customFormat="1" ht="21" x14ac:dyDescent="0.35">
      <c r="B102" s="1057" t="s">
        <v>0</v>
      </c>
      <c r="C102" s="1057"/>
      <c r="L102" s="2"/>
    </row>
    <row r="103" spans="2:12" s="1" customFormat="1" ht="3" customHeight="1" x14ac:dyDescent="0.3">
      <c r="D103" s="11"/>
      <c r="E103" s="11"/>
      <c r="F103" s="11"/>
      <c r="L103" s="2"/>
    </row>
    <row r="104" spans="2:12" s="1" customFormat="1" ht="18.75" x14ac:dyDescent="0.3">
      <c r="B104" s="80" t="s">
        <v>6</v>
      </c>
      <c r="D104" s="79"/>
      <c r="E104" s="73"/>
      <c r="F104" s="74"/>
      <c r="L104" s="2"/>
    </row>
    <row r="105" spans="2:12" s="1" customFormat="1" ht="10.15" customHeight="1" x14ac:dyDescent="0.3">
      <c r="B105" s="11"/>
      <c r="C105" s="11"/>
      <c r="D105" s="48" t="s">
        <v>15</v>
      </c>
      <c r="E105" s="48" t="s">
        <v>14</v>
      </c>
      <c r="G105" s="75"/>
      <c r="H105" s="75"/>
      <c r="I105" s="77"/>
      <c r="J105" s="78"/>
      <c r="K105" s="78"/>
      <c r="L105" s="2"/>
    </row>
    <row r="106" spans="2:12" s="1" customFormat="1" ht="15.75" customHeight="1" x14ac:dyDescent="0.3">
      <c r="B106" s="76" t="s">
        <v>18</v>
      </c>
      <c r="C106" s="68">
        <f>C6</f>
        <v>7</v>
      </c>
      <c r="D106" s="69">
        <f>D6</f>
        <v>46062</v>
      </c>
      <c r="E106" s="69">
        <f>E6</f>
        <v>46068</v>
      </c>
      <c r="G106" s="75"/>
      <c r="H106" s="75"/>
      <c r="I106" s="77"/>
      <c r="J106" s="78"/>
      <c r="K106" s="78"/>
      <c r="L106" s="2"/>
    </row>
    <row r="107" spans="2:12" s="1" customFormat="1" ht="3" customHeight="1" thickBot="1" x14ac:dyDescent="0.3">
      <c r="D107" s="2"/>
      <c r="E107" s="2"/>
      <c r="F107" s="2"/>
      <c r="G107" s="2"/>
      <c r="H107" s="2"/>
      <c r="I107" s="2"/>
      <c r="J107" s="2"/>
      <c r="K107" s="2"/>
      <c r="L107" s="2"/>
    </row>
    <row r="108" spans="2:12" s="1" customFormat="1" ht="15.75" thickBot="1" x14ac:dyDescent="0.3">
      <c r="B108" s="201"/>
      <c r="C108" s="202">
        <f t="shared" ref="C108:J108" si="69">C8</f>
        <v>46062</v>
      </c>
      <c r="D108" s="202">
        <f t="shared" si="69"/>
        <v>46063</v>
      </c>
      <c r="E108" s="202">
        <f t="shared" si="69"/>
        <v>46064</v>
      </c>
      <c r="F108" s="202">
        <f t="shared" si="69"/>
        <v>46065</v>
      </c>
      <c r="G108" s="202">
        <f t="shared" si="69"/>
        <v>46066</v>
      </c>
      <c r="H108" s="202">
        <f t="shared" si="69"/>
        <v>46067</v>
      </c>
      <c r="I108" s="202">
        <f t="shared" si="69"/>
        <v>46068</v>
      </c>
      <c r="J108" s="202">
        <f t="shared" si="69"/>
        <v>46069</v>
      </c>
      <c r="K108" s="326" t="s">
        <v>1</v>
      </c>
      <c r="L108" s="2"/>
    </row>
    <row r="109" spans="2:12" s="1" customFormat="1" ht="13.15" customHeight="1" x14ac:dyDescent="0.25">
      <c r="B109" s="203" t="s">
        <v>147</v>
      </c>
      <c r="C109" s="204">
        <f t="shared" ref="C109:I112" si="70">C9</f>
        <v>0</v>
      </c>
      <c r="D109" s="204">
        <f t="shared" si="70"/>
        <v>0</v>
      </c>
      <c r="E109" s="204">
        <f t="shared" si="70"/>
        <v>0</v>
      </c>
      <c r="F109" s="204">
        <f t="shared" si="70"/>
        <v>0</v>
      </c>
      <c r="G109" s="204">
        <f t="shared" si="70"/>
        <v>0</v>
      </c>
      <c r="H109" s="204">
        <f t="shared" si="70"/>
        <v>0</v>
      </c>
      <c r="I109" s="204">
        <f t="shared" si="70"/>
        <v>0</v>
      </c>
      <c r="J109" s="205"/>
      <c r="K109" s="327">
        <f t="shared" ref="K109:K126" si="71">SUM(C109:I109)</f>
        <v>0</v>
      </c>
      <c r="L109" s="2"/>
    </row>
    <row r="110" spans="2:12" s="1" customFormat="1" ht="13.15" customHeight="1" x14ac:dyDescent="0.25">
      <c r="B110" s="286"/>
      <c r="C110" s="196">
        <f t="shared" si="70"/>
        <v>0</v>
      </c>
      <c r="D110" s="196">
        <f t="shared" si="70"/>
        <v>0</v>
      </c>
      <c r="E110" s="196">
        <f t="shared" si="70"/>
        <v>0</v>
      </c>
      <c r="F110" s="196">
        <f t="shared" si="70"/>
        <v>0</v>
      </c>
      <c r="G110" s="196">
        <f t="shared" si="70"/>
        <v>0</v>
      </c>
      <c r="H110" s="196">
        <f t="shared" si="70"/>
        <v>0</v>
      </c>
      <c r="I110" s="196">
        <f t="shared" si="70"/>
        <v>0</v>
      </c>
      <c r="J110" s="94"/>
      <c r="K110" s="328">
        <v>0</v>
      </c>
      <c r="L110" s="2"/>
    </row>
    <row r="111" spans="2:12" s="1" customFormat="1" ht="13.15" customHeight="1" x14ac:dyDescent="0.25">
      <c r="B111" s="206" t="s">
        <v>148</v>
      </c>
      <c r="C111" s="196">
        <f t="shared" si="70"/>
        <v>0</v>
      </c>
      <c r="D111" s="196">
        <f t="shared" si="70"/>
        <v>0</v>
      </c>
      <c r="E111" s="196">
        <f t="shared" si="70"/>
        <v>0</v>
      </c>
      <c r="F111" s="196">
        <f t="shared" si="70"/>
        <v>0</v>
      </c>
      <c r="G111" s="196">
        <f t="shared" si="70"/>
        <v>0</v>
      </c>
      <c r="H111" s="196">
        <f t="shared" si="70"/>
        <v>0</v>
      </c>
      <c r="I111" s="196">
        <f t="shared" si="70"/>
        <v>0</v>
      </c>
      <c r="J111" s="94"/>
      <c r="K111" s="328">
        <f t="shared" ref="K111" si="72">SUM(C111:I111)</f>
        <v>0</v>
      </c>
      <c r="L111" s="2"/>
    </row>
    <row r="112" spans="2:12" s="1" customFormat="1" ht="13.15" customHeight="1" x14ac:dyDescent="0.25">
      <c r="B112" s="206"/>
      <c r="C112" s="196">
        <f t="shared" si="70"/>
        <v>0</v>
      </c>
      <c r="D112" s="196">
        <f t="shared" si="70"/>
        <v>0</v>
      </c>
      <c r="E112" s="196">
        <f t="shared" si="70"/>
        <v>0</v>
      </c>
      <c r="F112" s="196">
        <f t="shared" si="70"/>
        <v>0</v>
      </c>
      <c r="G112" s="196">
        <f t="shared" si="70"/>
        <v>0</v>
      </c>
      <c r="H112" s="196">
        <f t="shared" si="70"/>
        <v>0</v>
      </c>
      <c r="I112" s="196">
        <f t="shared" si="70"/>
        <v>0</v>
      </c>
      <c r="J112" s="94"/>
      <c r="K112" s="328">
        <f t="shared" ref="K112" si="73">SUM(C112:I112)</f>
        <v>0</v>
      </c>
      <c r="L112" s="2"/>
    </row>
    <row r="113" spans="2:12" s="1" customFormat="1" ht="13.15" customHeight="1" x14ac:dyDescent="0.25">
      <c r="B113" s="206" t="s">
        <v>149</v>
      </c>
      <c r="C113" s="197">
        <v>863</v>
      </c>
      <c r="D113" s="197">
        <v>19</v>
      </c>
      <c r="E113" s="197">
        <v>0</v>
      </c>
      <c r="F113" s="197">
        <v>0</v>
      </c>
      <c r="G113" s="197">
        <v>0</v>
      </c>
      <c r="H113" s="197">
        <v>0</v>
      </c>
      <c r="I113" s="197">
        <v>0</v>
      </c>
      <c r="J113" s="198"/>
      <c r="K113" s="328">
        <f t="shared" si="71"/>
        <v>882</v>
      </c>
      <c r="L113" s="2"/>
    </row>
    <row r="114" spans="2:12" s="1" customFormat="1" ht="13.15" customHeight="1" x14ac:dyDescent="0.25">
      <c r="B114" s="206"/>
      <c r="C114" s="197">
        <v>0</v>
      </c>
      <c r="D114" s="197">
        <v>0</v>
      </c>
      <c r="E114" s="197">
        <v>0</v>
      </c>
      <c r="F114" s="197">
        <v>0</v>
      </c>
      <c r="G114" s="197">
        <v>0</v>
      </c>
      <c r="H114" s="197">
        <v>0</v>
      </c>
      <c r="I114" s="197">
        <v>0</v>
      </c>
      <c r="J114" s="198"/>
      <c r="K114" s="328">
        <f t="shared" ref="K114" si="74">SUM(C114:I114)</f>
        <v>0</v>
      </c>
      <c r="L114" s="2"/>
    </row>
    <row r="115" spans="2:12" s="1" customFormat="1" ht="13.15" customHeight="1" x14ac:dyDescent="0.25">
      <c r="B115" s="207" t="s">
        <v>150</v>
      </c>
      <c r="C115" s="197">
        <v>0</v>
      </c>
      <c r="D115" s="197">
        <v>0</v>
      </c>
      <c r="E115" s="197">
        <v>0</v>
      </c>
      <c r="F115" s="197">
        <v>0</v>
      </c>
      <c r="G115" s="197">
        <v>0</v>
      </c>
      <c r="H115" s="197">
        <v>0</v>
      </c>
      <c r="I115" s="197">
        <v>0</v>
      </c>
      <c r="J115" s="198"/>
      <c r="K115" s="328">
        <f t="shared" ref="K115" si="75">SUM(C115:I115)</f>
        <v>0</v>
      </c>
      <c r="L115" s="2"/>
    </row>
    <row r="116" spans="2:12" s="1" customFormat="1" ht="13.15" customHeight="1" thickBot="1" x14ac:dyDescent="0.3">
      <c r="B116" s="585"/>
      <c r="C116" s="197">
        <v>0</v>
      </c>
      <c r="D116" s="197">
        <v>0</v>
      </c>
      <c r="E116" s="197">
        <v>0</v>
      </c>
      <c r="F116" s="197">
        <v>0</v>
      </c>
      <c r="G116" s="197">
        <v>0</v>
      </c>
      <c r="H116" s="197">
        <v>0</v>
      </c>
      <c r="I116" s="197">
        <v>0</v>
      </c>
      <c r="J116" s="198"/>
      <c r="K116" s="333">
        <f t="shared" ref="K116" si="76">SUM(C116:I116)</f>
        <v>0</v>
      </c>
      <c r="L116" s="2"/>
    </row>
    <row r="117" spans="2:12" s="1" customFormat="1" ht="13.15" customHeight="1" thickBot="1" x14ac:dyDescent="0.3">
      <c r="B117" s="587" t="s">
        <v>29</v>
      </c>
      <c r="C117" s="588">
        <f>C113+C114+C115+C116</f>
        <v>863</v>
      </c>
      <c r="D117" s="588">
        <f t="shared" ref="D117:I117" si="77">D113+D114+D115+D116</f>
        <v>19</v>
      </c>
      <c r="E117" s="588">
        <f t="shared" si="77"/>
        <v>0</v>
      </c>
      <c r="F117" s="588">
        <f t="shared" si="77"/>
        <v>0</v>
      </c>
      <c r="G117" s="588">
        <f t="shared" si="77"/>
        <v>0</v>
      </c>
      <c r="H117" s="588">
        <f t="shared" si="77"/>
        <v>0</v>
      </c>
      <c r="I117" s="588">
        <f t="shared" si="77"/>
        <v>0</v>
      </c>
      <c r="J117" s="589"/>
      <c r="K117" s="590">
        <f>SUM(C117:I117)</f>
        <v>882</v>
      </c>
      <c r="L117" s="2"/>
    </row>
    <row r="118" spans="2:12" s="1" customFormat="1" ht="13.15" customHeight="1" x14ac:dyDescent="0.25">
      <c r="B118" s="207" t="s">
        <v>151</v>
      </c>
      <c r="C118" s="196">
        <f t="shared" ref="C118:I121" si="78">C113-C109</f>
        <v>863</v>
      </c>
      <c r="D118" s="196">
        <f t="shared" si="78"/>
        <v>19</v>
      </c>
      <c r="E118" s="196">
        <f t="shared" si="78"/>
        <v>0</v>
      </c>
      <c r="F118" s="196">
        <f t="shared" si="78"/>
        <v>0</v>
      </c>
      <c r="G118" s="196">
        <f t="shared" si="78"/>
        <v>0</v>
      </c>
      <c r="H118" s="196">
        <f t="shared" si="78"/>
        <v>0</v>
      </c>
      <c r="I118" s="196">
        <f t="shared" si="78"/>
        <v>0</v>
      </c>
      <c r="J118" s="94"/>
      <c r="K118" s="586">
        <f t="shared" si="71"/>
        <v>882</v>
      </c>
      <c r="L118" s="2"/>
    </row>
    <row r="119" spans="2:12" s="1" customFormat="1" ht="13.15" customHeight="1" x14ac:dyDescent="0.25">
      <c r="B119" s="208"/>
      <c r="C119" s="196">
        <f t="shared" si="78"/>
        <v>0</v>
      </c>
      <c r="D119" s="196">
        <f t="shared" si="78"/>
        <v>0</v>
      </c>
      <c r="E119" s="196">
        <f t="shared" si="78"/>
        <v>0</v>
      </c>
      <c r="F119" s="196">
        <f t="shared" si="78"/>
        <v>0</v>
      </c>
      <c r="G119" s="196">
        <f t="shared" si="78"/>
        <v>0</v>
      </c>
      <c r="H119" s="196">
        <f t="shared" si="78"/>
        <v>0</v>
      </c>
      <c r="I119" s="196">
        <f t="shared" si="78"/>
        <v>0</v>
      </c>
      <c r="J119" s="94"/>
      <c r="K119" s="328">
        <f t="shared" ref="K119" si="79">SUM(C119:I119)</f>
        <v>0</v>
      </c>
      <c r="L119" s="2"/>
    </row>
    <row r="120" spans="2:12" s="1" customFormat="1" ht="13.15" customHeight="1" x14ac:dyDescent="0.25">
      <c r="B120" s="208" t="s">
        <v>152</v>
      </c>
      <c r="C120" s="196">
        <f t="shared" si="78"/>
        <v>0</v>
      </c>
      <c r="D120" s="196">
        <f t="shared" si="78"/>
        <v>0</v>
      </c>
      <c r="E120" s="196">
        <f t="shared" si="78"/>
        <v>0</v>
      </c>
      <c r="F120" s="196">
        <f t="shared" si="78"/>
        <v>0</v>
      </c>
      <c r="G120" s="196">
        <f t="shared" si="78"/>
        <v>0</v>
      </c>
      <c r="H120" s="196">
        <f t="shared" si="78"/>
        <v>0</v>
      </c>
      <c r="I120" s="196">
        <f t="shared" si="78"/>
        <v>0</v>
      </c>
      <c r="J120" s="94"/>
      <c r="K120" s="333">
        <f t="shared" ref="K120" si="80">SUM(C120:I120)</f>
        <v>0</v>
      </c>
      <c r="L120" s="2"/>
    </row>
    <row r="121" spans="2:12" s="1" customFormat="1" ht="13.15" customHeight="1" thickBot="1" x14ac:dyDescent="0.3">
      <c r="B121" s="208"/>
      <c r="C121" s="196">
        <f t="shared" si="78"/>
        <v>0</v>
      </c>
      <c r="D121" s="196">
        <f t="shared" si="78"/>
        <v>0</v>
      </c>
      <c r="E121" s="196">
        <f t="shared" si="78"/>
        <v>0</v>
      </c>
      <c r="F121" s="196">
        <f t="shared" si="78"/>
        <v>0</v>
      </c>
      <c r="G121" s="196">
        <f t="shared" si="78"/>
        <v>0</v>
      </c>
      <c r="H121" s="196">
        <f t="shared" si="78"/>
        <v>0</v>
      </c>
      <c r="I121" s="196">
        <f t="shared" si="78"/>
        <v>0</v>
      </c>
      <c r="J121" s="94"/>
      <c r="K121" s="333">
        <f t="shared" ref="K121" si="81">SUM(C121:I121)</f>
        <v>0</v>
      </c>
      <c r="L121" s="2"/>
    </row>
    <row r="122" spans="2:12" s="1" customFormat="1" ht="13.15" customHeight="1" x14ac:dyDescent="0.25">
      <c r="B122" s="334" t="s">
        <v>153</v>
      </c>
      <c r="C122" s="204">
        <f t="shared" ref="C122:I125" si="82">C13</f>
        <v>0</v>
      </c>
      <c r="D122" s="204">
        <f t="shared" si="82"/>
        <v>0</v>
      </c>
      <c r="E122" s="204">
        <f t="shared" si="82"/>
        <v>0</v>
      </c>
      <c r="F122" s="204">
        <f t="shared" si="82"/>
        <v>0</v>
      </c>
      <c r="G122" s="204">
        <f t="shared" si="82"/>
        <v>0</v>
      </c>
      <c r="H122" s="204">
        <f t="shared" si="82"/>
        <v>0</v>
      </c>
      <c r="I122" s="204">
        <f t="shared" si="82"/>
        <v>0</v>
      </c>
      <c r="J122" s="335"/>
      <c r="K122" s="330">
        <f>SUM(C122:I122)</f>
        <v>0</v>
      </c>
      <c r="L122" s="2"/>
    </row>
    <row r="123" spans="2:12" s="1" customFormat="1" ht="13.15" customHeight="1" x14ac:dyDescent="0.25">
      <c r="B123" s="209"/>
      <c r="C123" s="196">
        <f t="shared" si="82"/>
        <v>0</v>
      </c>
      <c r="D123" s="196">
        <f t="shared" si="82"/>
        <v>0</v>
      </c>
      <c r="E123" s="196">
        <f t="shared" si="82"/>
        <v>0</v>
      </c>
      <c r="F123" s="196">
        <f t="shared" si="82"/>
        <v>0</v>
      </c>
      <c r="G123" s="196">
        <f t="shared" si="82"/>
        <v>0</v>
      </c>
      <c r="H123" s="196">
        <f t="shared" si="82"/>
        <v>0</v>
      </c>
      <c r="I123" s="196">
        <f t="shared" si="82"/>
        <v>0</v>
      </c>
      <c r="J123" s="94"/>
      <c r="K123" s="331">
        <f t="shared" ref="K123" si="83">SUM(C123:I123)</f>
        <v>0</v>
      </c>
      <c r="L123" s="2"/>
    </row>
    <row r="124" spans="2:12" s="1" customFormat="1" ht="13.15" customHeight="1" x14ac:dyDescent="0.25">
      <c r="B124" s="209" t="s">
        <v>154</v>
      </c>
      <c r="C124" s="196">
        <f t="shared" si="82"/>
        <v>0</v>
      </c>
      <c r="D124" s="196">
        <f t="shared" si="82"/>
        <v>0</v>
      </c>
      <c r="E124" s="196">
        <f t="shared" si="82"/>
        <v>0</v>
      </c>
      <c r="F124" s="196">
        <f t="shared" si="82"/>
        <v>0</v>
      </c>
      <c r="G124" s="196">
        <f t="shared" si="82"/>
        <v>0</v>
      </c>
      <c r="H124" s="196">
        <f t="shared" si="82"/>
        <v>0</v>
      </c>
      <c r="I124" s="196">
        <f t="shared" si="82"/>
        <v>0</v>
      </c>
      <c r="J124" s="94"/>
      <c r="K124" s="331">
        <f t="shared" ref="K124" si="84">SUM(C124:I124)</f>
        <v>0</v>
      </c>
      <c r="L124" s="2"/>
    </row>
    <row r="125" spans="2:12" s="1" customFormat="1" ht="13.15" customHeight="1" x14ac:dyDescent="0.25">
      <c r="B125" s="209"/>
      <c r="C125" s="196">
        <f t="shared" si="82"/>
        <v>0</v>
      </c>
      <c r="D125" s="196">
        <f t="shared" si="82"/>
        <v>0</v>
      </c>
      <c r="E125" s="196">
        <f t="shared" si="82"/>
        <v>0</v>
      </c>
      <c r="F125" s="196">
        <f t="shared" si="82"/>
        <v>0</v>
      </c>
      <c r="G125" s="196">
        <f t="shared" si="82"/>
        <v>0</v>
      </c>
      <c r="H125" s="196">
        <f t="shared" si="82"/>
        <v>0</v>
      </c>
      <c r="I125" s="196">
        <f t="shared" si="82"/>
        <v>0</v>
      </c>
      <c r="J125" s="94"/>
      <c r="K125" s="331">
        <f t="shared" ref="K125" si="85">SUM(C125:I125)</f>
        <v>0</v>
      </c>
      <c r="L125" s="2"/>
    </row>
    <row r="126" spans="2:12" s="1" customFormat="1" ht="13.15" customHeight="1" x14ac:dyDescent="0.25">
      <c r="B126" s="209" t="s">
        <v>155</v>
      </c>
      <c r="C126" s="287">
        <v>138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7">
        <v>0</v>
      </c>
      <c r="J126" s="329"/>
      <c r="K126" s="332">
        <f t="shared" si="71"/>
        <v>138</v>
      </c>
      <c r="L126" s="2"/>
    </row>
    <row r="127" spans="2:12" s="1" customFormat="1" ht="13.15" customHeight="1" x14ac:dyDescent="0.25">
      <c r="B127" s="209"/>
      <c r="C127" s="287">
        <v>0</v>
      </c>
      <c r="D127" s="288">
        <v>0</v>
      </c>
      <c r="E127" s="288">
        <v>0</v>
      </c>
      <c r="F127" s="288">
        <v>0</v>
      </c>
      <c r="G127" s="288">
        <v>0</v>
      </c>
      <c r="H127" s="288">
        <v>0</v>
      </c>
      <c r="I127" s="287">
        <v>0</v>
      </c>
      <c r="J127" s="329"/>
      <c r="K127" s="332">
        <f t="shared" ref="K127" si="86">SUM(C127:I127)</f>
        <v>0</v>
      </c>
      <c r="L127" s="2"/>
    </row>
    <row r="128" spans="2:12" s="1" customFormat="1" ht="13.15" customHeight="1" x14ac:dyDescent="0.25">
      <c r="B128" s="209" t="s">
        <v>156</v>
      </c>
      <c r="C128" s="287">
        <v>0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7">
        <v>0</v>
      </c>
      <c r="J128" s="329"/>
      <c r="K128" s="332">
        <f t="shared" ref="K128:K129" si="87">SUM(C128:I128)</f>
        <v>0</v>
      </c>
      <c r="L128" s="2"/>
    </row>
    <row r="129" spans="2:12" s="1" customFormat="1" ht="13.15" customHeight="1" thickBot="1" x14ac:dyDescent="0.3">
      <c r="B129" s="210"/>
      <c r="C129" s="287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7">
        <v>0</v>
      </c>
      <c r="J129" s="329"/>
      <c r="K129" s="591">
        <f t="shared" si="87"/>
        <v>0</v>
      </c>
      <c r="L129" s="2"/>
    </row>
    <row r="130" spans="2:12" s="1" customFormat="1" ht="13.15" customHeight="1" thickBot="1" x14ac:dyDescent="0.3">
      <c r="B130" s="593" t="s">
        <v>49</v>
      </c>
      <c r="C130" s="588">
        <f>C126+C127+C128+C129</f>
        <v>138</v>
      </c>
      <c r="D130" s="588">
        <f t="shared" ref="D130:I130" si="88">D126+D127+D128+D129</f>
        <v>0</v>
      </c>
      <c r="E130" s="588">
        <f t="shared" si="88"/>
        <v>0</v>
      </c>
      <c r="F130" s="588">
        <f t="shared" si="88"/>
        <v>0</v>
      </c>
      <c r="G130" s="588">
        <f t="shared" si="88"/>
        <v>0</v>
      </c>
      <c r="H130" s="588">
        <f t="shared" si="88"/>
        <v>0</v>
      </c>
      <c r="I130" s="588">
        <f t="shared" si="88"/>
        <v>0</v>
      </c>
      <c r="J130" s="589"/>
      <c r="K130" s="594">
        <f>SUM(C130:I130)</f>
        <v>138</v>
      </c>
      <c r="L130" s="2"/>
    </row>
    <row r="131" spans="2:12" s="1" customFormat="1" ht="13.15" customHeight="1" x14ac:dyDescent="0.25">
      <c r="B131" s="592" t="s">
        <v>151</v>
      </c>
      <c r="C131" s="196">
        <f t="shared" ref="C131:I134" si="89">C126-C122</f>
        <v>138</v>
      </c>
      <c r="D131" s="196">
        <f t="shared" si="89"/>
        <v>0</v>
      </c>
      <c r="E131" s="196">
        <f t="shared" si="89"/>
        <v>0</v>
      </c>
      <c r="F131" s="196">
        <f t="shared" si="89"/>
        <v>0</v>
      </c>
      <c r="G131" s="196">
        <f t="shared" si="89"/>
        <v>0</v>
      </c>
      <c r="H131" s="196">
        <f t="shared" si="89"/>
        <v>0</v>
      </c>
      <c r="I131" s="196">
        <f t="shared" si="89"/>
        <v>0</v>
      </c>
      <c r="J131" s="94"/>
      <c r="K131" s="331">
        <f t="shared" ref="K131" si="90">SUM(C131:I131)</f>
        <v>138</v>
      </c>
      <c r="L131" s="2"/>
    </row>
    <row r="132" spans="2:12" s="1" customFormat="1" ht="13.15" customHeight="1" x14ac:dyDescent="0.25">
      <c r="B132" s="210"/>
      <c r="C132" s="196">
        <f t="shared" si="89"/>
        <v>0</v>
      </c>
      <c r="D132" s="196">
        <f t="shared" si="89"/>
        <v>0</v>
      </c>
      <c r="E132" s="196">
        <f t="shared" si="89"/>
        <v>0</v>
      </c>
      <c r="F132" s="196">
        <f t="shared" si="89"/>
        <v>0</v>
      </c>
      <c r="G132" s="196">
        <f t="shared" si="89"/>
        <v>0</v>
      </c>
      <c r="H132" s="196">
        <f t="shared" si="89"/>
        <v>0</v>
      </c>
      <c r="I132" s="196">
        <f t="shared" si="89"/>
        <v>0</v>
      </c>
      <c r="J132" s="94"/>
      <c r="K132" s="332">
        <f t="shared" ref="K132" si="91">SUM(C132:I132)</f>
        <v>0</v>
      </c>
      <c r="L132" s="2"/>
    </row>
    <row r="133" spans="2:12" s="1" customFormat="1" ht="13.15" customHeight="1" x14ac:dyDescent="0.25">
      <c r="B133" s="481" t="s">
        <v>152</v>
      </c>
      <c r="C133" s="196">
        <f t="shared" si="89"/>
        <v>0</v>
      </c>
      <c r="D133" s="196">
        <f t="shared" si="89"/>
        <v>0</v>
      </c>
      <c r="E133" s="196">
        <f t="shared" si="89"/>
        <v>0</v>
      </c>
      <c r="F133" s="196">
        <f t="shared" si="89"/>
        <v>0</v>
      </c>
      <c r="G133" s="196">
        <f t="shared" si="89"/>
        <v>0</v>
      </c>
      <c r="H133" s="196">
        <f t="shared" si="89"/>
        <v>0</v>
      </c>
      <c r="I133" s="196">
        <f t="shared" si="89"/>
        <v>0</v>
      </c>
      <c r="J133" s="442"/>
      <c r="K133" s="482">
        <f t="shared" ref="K133" si="92">SUM(C133:I133)</f>
        <v>0</v>
      </c>
      <c r="L133" s="2"/>
    </row>
    <row r="134" spans="2:12" s="1" customFormat="1" ht="13.15" customHeight="1" thickBot="1" x14ac:dyDescent="0.3">
      <c r="B134" s="479"/>
      <c r="C134" s="336">
        <f t="shared" si="89"/>
        <v>0</v>
      </c>
      <c r="D134" s="336">
        <f t="shared" si="89"/>
        <v>0</v>
      </c>
      <c r="E134" s="336">
        <f t="shared" si="89"/>
        <v>0</v>
      </c>
      <c r="F134" s="336">
        <f t="shared" si="89"/>
        <v>0</v>
      </c>
      <c r="G134" s="336">
        <f t="shared" si="89"/>
        <v>0</v>
      </c>
      <c r="H134" s="336">
        <f t="shared" si="89"/>
        <v>0</v>
      </c>
      <c r="I134" s="336">
        <f t="shared" si="89"/>
        <v>0</v>
      </c>
      <c r="J134" s="337"/>
      <c r="K134" s="480">
        <f t="shared" ref="K134" si="93">SUM(C134:I134)</f>
        <v>0</v>
      </c>
      <c r="L134" s="2"/>
    </row>
    <row r="135" spans="2:12" s="1" customFormat="1" ht="13.15" customHeight="1" x14ac:dyDescent="0.25">
      <c r="B135" s="338" t="s">
        <v>157</v>
      </c>
      <c r="C135" s="339">
        <f t="shared" ref="C135:I138" si="94">C17</f>
        <v>0</v>
      </c>
      <c r="D135" s="339">
        <f t="shared" si="94"/>
        <v>0</v>
      </c>
      <c r="E135" s="339">
        <f t="shared" si="94"/>
        <v>0</v>
      </c>
      <c r="F135" s="339">
        <f t="shared" si="94"/>
        <v>0</v>
      </c>
      <c r="G135" s="339">
        <f t="shared" si="94"/>
        <v>0</v>
      </c>
      <c r="H135" s="339">
        <f t="shared" si="94"/>
        <v>0</v>
      </c>
      <c r="I135" s="339">
        <f t="shared" si="94"/>
        <v>0</v>
      </c>
      <c r="J135" s="340"/>
      <c r="K135" s="345">
        <f>SUM(C135:I135)</f>
        <v>0</v>
      </c>
      <c r="L135" s="2"/>
    </row>
    <row r="136" spans="2:12" s="1" customFormat="1" ht="13.15" customHeight="1" x14ac:dyDescent="0.25">
      <c r="B136" s="211"/>
      <c r="C136" s="53">
        <f t="shared" si="94"/>
        <v>0</v>
      </c>
      <c r="D136" s="53">
        <f t="shared" si="94"/>
        <v>0</v>
      </c>
      <c r="E136" s="53">
        <f t="shared" si="94"/>
        <v>0</v>
      </c>
      <c r="F136" s="53">
        <f t="shared" si="94"/>
        <v>0</v>
      </c>
      <c r="G136" s="53">
        <f t="shared" si="94"/>
        <v>0</v>
      </c>
      <c r="H136" s="53">
        <f t="shared" si="94"/>
        <v>0</v>
      </c>
      <c r="I136" s="53">
        <f t="shared" si="94"/>
        <v>0</v>
      </c>
      <c r="J136" s="341"/>
      <c r="K136" s="346">
        <f>SUM(C136:I136)</f>
        <v>0</v>
      </c>
      <c r="L136" s="2"/>
    </row>
    <row r="137" spans="2:12" s="1" customFormat="1" ht="13.15" customHeight="1" x14ac:dyDescent="0.25">
      <c r="B137" s="211" t="s">
        <v>158</v>
      </c>
      <c r="C137" s="51">
        <f t="shared" si="94"/>
        <v>0</v>
      </c>
      <c r="D137" s="51">
        <f t="shared" si="94"/>
        <v>0</v>
      </c>
      <c r="E137" s="51">
        <f t="shared" si="94"/>
        <v>0</v>
      </c>
      <c r="F137" s="51">
        <f t="shared" si="94"/>
        <v>0</v>
      </c>
      <c r="G137" s="51">
        <f t="shared" si="94"/>
        <v>0</v>
      </c>
      <c r="H137" s="51">
        <f t="shared" si="94"/>
        <v>0</v>
      </c>
      <c r="I137" s="51">
        <f t="shared" si="94"/>
        <v>0</v>
      </c>
      <c r="J137" s="341"/>
      <c r="K137" s="346">
        <f>SUM(C137:I137)</f>
        <v>0</v>
      </c>
      <c r="L137" s="2"/>
    </row>
    <row r="138" spans="2:12" s="1" customFormat="1" ht="13.15" customHeight="1" x14ac:dyDescent="0.25">
      <c r="B138" s="211"/>
      <c r="C138" s="51">
        <f t="shared" si="94"/>
        <v>0</v>
      </c>
      <c r="D138" s="51">
        <f t="shared" si="94"/>
        <v>0</v>
      </c>
      <c r="E138" s="51">
        <f t="shared" si="94"/>
        <v>0</v>
      </c>
      <c r="F138" s="51">
        <f t="shared" si="94"/>
        <v>0</v>
      </c>
      <c r="G138" s="51">
        <f t="shared" si="94"/>
        <v>0</v>
      </c>
      <c r="H138" s="51">
        <f t="shared" si="94"/>
        <v>0</v>
      </c>
      <c r="I138" s="51">
        <f t="shared" si="94"/>
        <v>0</v>
      </c>
      <c r="J138" s="341"/>
      <c r="K138" s="346">
        <f>SUM(C138:I138)</f>
        <v>0</v>
      </c>
      <c r="L138" s="2"/>
    </row>
    <row r="139" spans="2:12" s="1" customFormat="1" ht="13.15" customHeight="1" x14ac:dyDescent="0.25">
      <c r="B139" s="211" t="s">
        <v>159</v>
      </c>
      <c r="C139" s="27">
        <v>0</v>
      </c>
      <c r="D139" s="155">
        <v>0</v>
      </c>
      <c r="E139" s="155">
        <v>0</v>
      </c>
      <c r="F139" s="155">
        <v>0</v>
      </c>
      <c r="G139" s="155">
        <v>0</v>
      </c>
      <c r="H139" s="155">
        <v>0</v>
      </c>
      <c r="I139" s="27">
        <v>0</v>
      </c>
      <c r="J139" s="342"/>
      <c r="K139" s="346">
        <f t="shared" ref="K139:K144" si="95">SUM(C139:I139)</f>
        <v>0</v>
      </c>
      <c r="L139" s="2"/>
    </row>
    <row r="140" spans="2:12" s="1" customFormat="1" ht="13.15" customHeight="1" x14ac:dyDescent="0.25">
      <c r="B140" s="211"/>
      <c r="C140" s="27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27">
        <v>0</v>
      </c>
      <c r="J140" s="342"/>
      <c r="K140" s="346">
        <f t="shared" ref="K140" si="96">SUM(C140:I140)</f>
        <v>0</v>
      </c>
      <c r="L140" s="2"/>
    </row>
    <row r="141" spans="2:12" s="1" customFormat="1" ht="13.15" customHeight="1" x14ac:dyDescent="0.25">
      <c r="B141" s="211" t="s">
        <v>160</v>
      </c>
      <c r="C141" s="27">
        <v>0</v>
      </c>
      <c r="D141" s="155">
        <v>0</v>
      </c>
      <c r="E141" s="155">
        <v>0</v>
      </c>
      <c r="F141" s="155">
        <v>0</v>
      </c>
      <c r="G141" s="155">
        <v>0</v>
      </c>
      <c r="H141" s="155">
        <v>0</v>
      </c>
      <c r="I141" s="27">
        <v>0</v>
      </c>
      <c r="J141" s="342"/>
      <c r="K141" s="346">
        <f t="shared" ref="K141" si="97">SUM(C141:I141)</f>
        <v>0</v>
      </c>
      <c r="L141" s="2"/>
    </row>
    <row r="142" spans="2:12" s="1" customFormat="1" ht="13.15" customHeight="1" thickBot="1" x14ac:dyDescent="0.3">
      <c r="B142" s="212"/>
      <c r="C142" s="27">
        <v>0</v>
      </c>
      <c r="D142" s="155">
        <v>0</v>
      </c>
      <c r="E142" s="155">
        <v>0</v>
      </c>
      <c r="F142" s="155">
        <v>0</v>
      </c>
      <c r="G142" s="155">
        <v>0</v>
      </c>
      <c r="H142" s="155">
        <v>0</v>
      </c>
      <c r="I142" s="27">
        <v>0</v>
      </c>
      <c r="J142" s="342"/>
      <c r="K142" s="347">
        <f t="shared" ref="K142" si="98">SUM(C142:I142)</f>
        <v>0</v>
      </c>
      <c r="L142" s="2"/>
    </row>
    <row r="143" spans="2:12" s="1" customFormat="1" ht="13.15" customHeight="1" thickBot="1" x14ac:dyDescent="0.3">
      <c r="B143" s="597" t="s">
        <v>22</v>
      </c>
      <c r="C143" s="598">
        <f>C139+C140+C141+C142</f>
        <v>0</v>
      </c>
      <c r="D143" s="598">
        <f t="shared" ref="D143:I143" si="99">D139+D140+D141+D142</f>
        <v>0</v>
      </c>
      <c r="E143" s="598">
        <f t="shared" si="99"/>
        <v>0</v>
      </c>
      <c r="F143" s="598">
        <f t="shared" si="99"/>
        <v>0</v>
      </c>
      <c r="G143" s="598">
        <f t="shared" si="99"/>
        <v>0</v>
      </c>
      <c r="H143" s="598">
        <f t="shared" si="99"/>
        <v>0</v>
      </c>
      <c r="I143" s="598">
        <f t="shared" si="99"/>
        <v>0</v>
      </c>
      <c r="J143" s="599"/>
      <c r="K143" s="600">
        <f t="shared" si="95"/>
        <v>0</v>
      </c>
      <c r="L143" s="2"/>
    </row>
    <row r="144" spans="2:12" s="1" customFormat="1" ht="13.15" customHeight="1" x14ac:dyDescent="0.25">
      <c r="B144" s="595" t="s">
        <v>151</v>
      </c>
      <c r="C144" s="51">
        <f t="shared" ref="C144:I147" si="100">C139-C135</f>
        <v>0</v>
      </c>
      <c r="D144" s="51">
        <f t="shared" si="100"/>
        <v>0</v>
      </c>
      <c r="E144" s="51">
        <f t="shared" si="100"/>
        <v>0</v>
      </c>
      <c r="F144" s="51">
        <f t="shared" si="100"/>
        <v>0</v>
      </c>
      <c r="G144" s="51">
        <f t="shared" si="100"/>
        <v>0</v>
      </c>
      <c r="H144" s="51">
        <f t="shared" si="100"/>
        <v>0</v>
      </c>
      <c r="I144" s="51">
        <f t="shared" si="100"/>
        <v>0</v>
      </c>
      <c r="J144" s="343"/>
      <c r="K144" s="596">
        <f t="shared" si="95"/>
        <v>0</v>
      </c>
      <c r="L144" s="2"/>
    </row>
    <row r="145" spans="2:12" s="1" customFormat="1" ht="13.15" customHeight="1" x14ac:dyDescent="0.25">
      <c r="B145" s="212"/>
      <c r="C145" s="51">
        <f t="shared" si="100"/>
        <v>0</v>
      </c>
      <c r="D145" s="51">
        <f t="shared" si="100"/>
        <v>0</v>
      </c>
      <c r="E145" s="51">
        <f t="shared" si="100"/>
        <v>0</v>
      </c>
      <c r="F145" s="51">
        <f t="shared" si="100"/>
        <v>0</v>
      </c>
      <c r="G145" s="51">
        <f t="shared" si="100"/>
        <v>0</v>
      </c>
      <c r="H145" s="51">
        <f t="shared" si="100"/>
        <v>0</v>
      </c>
      <c r="I145" s="51">
        <f t="shared" si="100"/>
        <v>0</v>
      </c>
      <c r="J145" s="343"/>
      <c r="K145" s="346">
        <f t="shared" ref="K145" si="101">SUM(C145:I145)</f>
        <v>0</v>
      </c>
      <c r="L145" s="2"/>
    </row>
    <row r="146" spans="2:12" s="1" customFormat="1" ht="13.15" customHeight="1" x14ac:dyDescent="0.25">
      <c r="B146" s="485" t="s">
        <v>152</v>
      </c>
      <c r="C146" s="51">
        <f t="shared" si="100"/>
        <v>0</v>
      </c>
      <c r="D146" s="51">
        <f t="shared" si="100"/>
        <v>0</v>
      </c>
      <c r="E146" s="51">
        <f t="shared" si="100"/>
        <v>0</v>
      </c>
      <c r="F146" s="51">
        <f t="shared" si="100"/>
        <v>0</v>
      </c>
      <c r="G146" s="51">
        <f t="shared" si="100"/>
        <v>0</v>
      </c>
      <c r="H146" s="51">
        <f t="shared" si="100"/>
        <v>0</v>
      </c>
      <c r="I146" s="51">
        <f t="shared" si="100"/>
        <v>0</v>
      </c>
      <c r="J146" s="380"/>
      <c r="K146" s="483">
        <f>K144-K136</f>
        <v>0</v>
      </c>
      <c r="L146" s="2"/>
    </row>
    <row r="147" spans="2:12" s="1" customFormat="1" ht="13.15" customHeight="1" thickBot="1" x14ac:dyDescent="0.3">
      <c r="B147" s="484"/>
      <c r="C147" s="297">
        <f t="shared" si="100"/>
        <v>0</v>
      </c>
      <c r="D147" s="297">
        <f t="shared" si="100"/>
        <v>0</v>
      </c>
      <c r="E147" s="297">
        <f t="shared" si="100"/>
        <v>0</v>
      </c>
      <c r="F147" s="297">
        <f t="shared" si="100"/>
        <v>0</v>
      </c>
      <c r="G147" s="297">
        <f t="shared" si="100"/>
        <v>0</v>
      </c>
      <c r="H147" s="297">
        <f t="shared" si="100"/>
        <v>0</v>
      </c>
      <c r="I147" s="297">
        <f t="shared" si="100"/>
        <v>0</v>
      </c>
      <c r="J147" s="344"/>
      <c r="K147" s="483">
        <f>K145-K137</f>
        <v>0</v>
      </c>
      <c r="L147" s="2"/>
    </row>
    <row r="148" spans="2:12" s="1" customFormat="1" ht="13.15" customHeight="1" x14ac:dyDescent="0.25">
      <c r="B148" s="348" t="s">
        <v>161</v>
      </c>
      <c r="C148" s="339">
        <f t="shared" ref="C148:I151" si="102">C21</f>
        <v>1200</v>
      </c>
      <c r="D148" s="339">
        <f t="shared" si="102"/>
        <v>1200</v>
      </c>
      <c r="E148" s="339">
        <f t="shared" si="102"/>
        <v>1200</v>
      </c>
      <c r="F148" s="339">
        <f t="shared" si="102"/>
        <v>0</v>
      </c>
      <c r="G148" s="339">
        <f t="shared" si="102"/>
        <v>0</v>
      </c>
      <c r="H148" s="339">
        <f t="shared" si="102"/>
        <v>0</v>
      </c>
      <c r="I148" s="339">
        <f t="shared" si="102"/>
        <v>0</v>
      </c>
      <c r="J148" s="340"/>
      <c r="K148" s="352">
        <f>SUM(C148:I148)</f>
        <v>3600</v>
      </c>
      <c r="L148" s="2"/>
    </row>
    <row r="149" spans="2:12" s="1" customFormat="1" ht="13.15" customHeight="1" x14ac:dyDescent="0.25">
      <c r="B149" s="213"/>
      <c r="C149" s="53">
        <f t="shared" si="102"/>
        <v>0</v>
      </c>
      <c r="D149" s="53">
        <f t="shared" si="102"/>
        <v>0</v>
      </c>
      <c r="E149" s="53">
        <f t="shared" si="102"/>
        <v>0</v>
      </c>
      <c r="F149" s="53">
        <f t="shared" si="102"/>
        <v>0</v>
      </c>
      <c r="G149" s="53">
        <f t="shared" si="102"/>
        <v>0</v>
      </c>
      <c r="H149" s="53">
        <f t="shared" si="102"/>
        <v>0</v>
      </c>
      <c r="I149" s="53">
        <f t="shared" si="102"/>
        <v>0</v>
      </c>
      <c r="J149" s="341"/>
      <c r="K149" s="353">
        <f>SUM(C149:I149)</f>
        <v>0</v>
      </c>
      <c r="L149" s="2"/>
    </row>
    <row r="150" spans="2:12" s="1" customFormat="1" ht="13.15" customHeight="1" x14ac:dyDescent="0.25">
      <c r="B150" s="213" t="s">
        <v>162</v>
      </c>
      <c r="C150" s="53">
        <f t="shared" si="102"/>
        <v>0</v>
      </c>
      <c r="D150" s="53">
        <f t="shared" si="102"/>
        <v>0</v>
      </c>
      <c r="E150" s="53">
        <f t="shared" si="102"/>
        <v>0</v>
      </c>
      <c r="F150" s="53">
        <f t="shared" si="102"/>
        <v>0</v>
      </c>
      <c r="G150" s="53">
        <f t="shared" si="102"/>
        <v>0</v>
      </c>
      <c r="H150" s="53">
        <f t="shared" si="102"/>
        <v>0</v>
      </c>
      <c r="I150" s="53">
        <f t="shared" si="102"/>
        <v>0</v>
      </c>
      <c r="J150" s="341"/>
      <c r="K150" s="353">
        <f>SUM(C150:I150)</f>
        <v>0</v>
      </c>
      <c r="L150" s="2"/>
    </row>
    <row r="151" spans="2:12" s="1" customFormat="1" ht="13.15" customHeight="1" x14ac:dyDescent="0.25">
      <c r="B151" s="213"/>
      <c r="C151" s="53">
        <f t="shared" si="102"/>
        <v>0</v>
      </c>
      <c r="D151" s="53">
        <f t="shared" si="102"/>
        <v>0</v>
      </c>
      <c r="E151" s="53">
        <f t="shared" si="102"/>
        <v>0</v>
      </c>
      <c r="F151" s="53">
        <f t="shared" si="102"/>
        <v>0</v>
      </c>
      <c r="G151" s="53">
        <f t="shared" si="102"/>
        <v>0</v>
      </c>
      <c r="H151" s="53">
        <f t="shared" si="102"/>
        <v>0</v>
      </c>
      <c r="I151" s="53">
        <f t="shared" si="102"/>
        <v>0</v>
      </c>
      <c r="J151" s="341"/>
      <c r="K151" s="353">
        <f>SUM(C151:I151)</f>
        <v>0</v>
      </c>
      <c r="L151" s="2"/>
    </row>
    <row r="152" spans="2:12" s="1" customFormat="1" ht="13.15" customHeight="1" x14ac:dyDescent="0.25">
      <c r="B152" s="213" t="s">
        <v>163</v>
      </c>
      <c r="C152" s="138">
        <v>0</v>
      </c>
      <c r="D152" s="156">
        <v>806</v>
      </c>
      <c r="E152" s="156">
        <v>942</v>
      </c>
      <c r="F152" s="156">
        <v>1041</v>
      </c>
      <c r="G152" s="156">
        <v>926</v>
      </c>
      <c r="H152" s="156">
        <v>0</v>
      </c>
      <c r="I152" s="138">
        <v>0</v>
      </c>
      <c r="J152" s="350"/>
      <c r="K152" s="353">
        <f t="shared" ref="K152:K157" si="103">SUM(C152:I152)</f>
        <v>3715</v>
      </c>
      <c r="L152" s="2"/>
    </row>
    <row r="153" spans="2:12" s="1" customFormat="1" ht="13.15" customHeight="1" x14ac:dyDescent="0.25">
      <c r="B153" s="213"/>
      <c r="C153" s="138">
        <v>0</v>
      </c>
      <c r="D153" s="156">
        <v>0</v>
      </c>
      <c r="E153" s="156">
        <v>0</v>
      </c>
      <c r="F153" s="156">
        <v>0</v>
      </c>
      <c r="G153" s="156">
        <v>0</v>
      </c>
      <c r="H153" s="156">
        <v>0</v>
      </c>
      <c r="I153" s="138">
        <v>0</v>
      </c>
      <c r="J153" s="350"/>
      <c r="K153" s="353">
        <f t="shared" ref="K153" si="104">SUM(C153:I153)</f>
        <v>0</v>
      </c>
      <c r="L153" s="2"/>
    </row>
    <row r="154" spans="2:12" s="1" customFormat="1" ht="13.15" customHeight="1" x14ac:dyDescent="0.25">
      <c r="B154" s="213" t="s">
        <v>164</v>
      </c>
      <c r="C154" s="138">
        <v>0</v>
      </c>
      <c r="D154" s="156">
        <v>0</v>
      </c>
      <c r="E154" s="156">
        <v>0</v>
      </c>
      <c r="F154" s="156">
        <v>0</v>
      </c>
      <c r="G154" s="156">
        <v>0</v>
      </c>
      <c r="H154" s="156">
        <v>0</v>
      </c>
      <c r="I154" s="138">
        <v>0</v>
      </c>
      <c r="J154" s="350"/>
      <c r="K154" s="353">
        <f t="shared" ref="K154:K156" si="105">SUM(C154:I154)</f>
        <v>0</v>
      </c>
      <c r="L154" s="2"/>
    </row>
    <row r="155" spans="2:12" s="1" customFormat="1" ht="13.15" customHeight="1" thickBot="1" x14ac:dyDescent="0.3">
      <c r="B155" s="225"/>
      <c r="C155" s="138">
        <v>0</v>
      </c>
      <c r="D155" s="156">
        <v>0</v>
      </c>
      <c r="E155" s="156">
        <v>0</v>
      </c>
      <c r="F155" s="156">
        <v>0</v>
      </c>
      <c r="G155" s="156">
        <v>0</v>
      </c>
      <c r="H155" s="156">
        <v>0</v>
      </c>
      <c r="I155" s="138">
        <v>0</v>
      </c>
      <c r="J155" s="350"/>
      <c r="K155" s="354">
        <f t="shared" ref="K155" si="106">SUM(C155:I155)</f>
        <v>0</v>
      </c>
      <c r="L155" s="2"/>
    </row>
    <row r="156" spans="2:12" s="1" customFormat="1" ht="13.15" customHeight="1" thickBot="1" x14ac:dyDescent="0.3">
      <c r="B156" s="603" t="s">
        <v>52</v>
      </c>
      <c r="C156" s="598">
        <f>C152+C153+C154+C155</f>
        <v>0</v>
      </c>
      <c r="D156" s="604">
        <f t="shared" ref="D156:I156" si="107">D152+D153+D154+D155</f>
        <v>806</v>
      </c>
      <c r="E156" s="604">
        <f t="shared" si="107"/>
        <v>942</v>
      </c>
      <c r="F156" s="604">
        <f t="shared" si="107"/>
        <v>1041</v>
      </c>
      <c r="G156" s="604">
        <f t="shared" si="107"/>
        <v>926</v>
      </c>
      <c r="H156" s="604">
        <f t="shared" si="107"/>
        <v>0</v>
      </c>
      <c r="I156" s="605">
        <f t="shared" si="107"/>
        <v>0</v>
      </c>
      <c r="J156" s="606"/>
      <c r="K156" s="607">
        <f t="shared" si="105"/>
        <v>3715</v>
      </c>
      <c r="L156" s="2"/>
    </row>
    <row r="157" spans="2:12" s="1" customFormat="1" ht="13.15" customHeight="1" x14ac:dyDescent="0.25">
      <c r="B157" s="601" t="s">
        <v>151</v>
      </c>
      <c r="C157" s="53">
        <f t="shared" ref="C157:I160" si="108">C152-C148</f>
        <v>-1200</v>
      </c>
      <c r="D157" s="240">
        <f t="shared" si="108"/>
        <v>-394</v>
      </c>
      <c r="E157" s="240">
        <f t="shared" si="108"/>
        <v>-258</v>
      </c>
      <c r="F157" s="240">
        <f t="shared" si="108"/>
        <v>1041</v>
      </c>
      <c r="G157" s="240">
        <f t="shared" si="108"/>
        <v>926</v>
      </c>
      <c r="H157" s="240">
        <f t="shared" si="108"/>
        <v>0</v>
      </c>
      <c r="I157" s="53">
        <f t="shared" si="108"/>
        <v>0</v>
      </c>
      <c r="J157" s="341"/>
      <c r="K157" s="602">
        <f t="shared" si="103"/>
        <v>115</v>
      </c>
      <c r="L157" s="2"/>
    </row>
    <row r="158" spans="2:12" s="1" customFormat="1" ht="13.15" customHeight="1" x14ac:dyDescent="0.25">
      <c r="B158" s="225"/>
      <c r="C158" s="53">
        <f t="shared" si="108"/>
        <v>0</v>
      </c>
      <c r="D158" s="240">
        <f t="shared" si="108"/>
        <v>0</v>
      </c>
      <c r="E158" s="240">
        <f t="shared" si="108"/>
        <v>0</v>
      </c>
      <c r="F158" s="240">
        <f t="shared" si="108"/>
        <v>0</v>
      </c>
      <c r="G158" s="240">
        <f t="shared" si="108"/>
        <v>0</v>
      </c>
      <c r="H158" s="240">
        <f t="shared" si="108"/>
        <v>0</v>
      </c>
      <c r="I158" s="53">
        <f t="shared" si="108"/>
        <v>0</v>
      </c>
      <c r="J158" s="341"/>
      <c r="K158" s="354">
        <f t="shared" ref="K158" si="109">SUM(C158:I158)</f>
        <v>0</v>
      </c>
      <c r="L158" s="2"/>
    </row>
    <row r="159" spans="2:12" s="1" customFormat="1" ht="13.15" customHeight="1" x14ac:dyDescent="0.25">
      <c r="B159" s="488" t="s">
        <v>152</v>
      </c>
      <c r="C159" s="53">
        <f t="shared" si="108"/>
        <v>0</v>
      </c>
      <c r="D159" s="53">
        <f t="shared" si="108"/>
        <v>0</v>
      </c>
      <c r="E159" s="53">
        <f t="shared" si="108"/>
        <v>0</v>
      </c>
      <c r="F159" s="53">
        <f t="shared" si="108"/>
        <v>0</v>
      </c>
      <c r="G159" s="53">
        <f t="shared" si="108"/>
        <v>0</v>
      </c>
      <c r="H159" s="53">
        <f t="shared" si="108"/>
        <v>0</v>
      </c>
      <c r="I159" s="53">
        <f t="shared" si="108"/>
        <v>0</v>
      </c>
      <c r="J159" s="486"/>
      <c r="K159" s="354">
        <f t="shared" ref="K159" si="110">SUM(C159:I159)</f>
        <v>0</v>
      </c>
      <c r="L159" s="2"/>
    </row>
    <row r="160" spans="2:12" s="1" customFormat="1" ht="13.15" customHeight="1" thickBot="1" x14ac:dyDescent="0.3">
      <c r="B160" s="487"/>
      <c r="C160" s="349">
        <f t="shared" si="108"/>
        <v>0</v>
      </c>
      <c r="D160" s="349">
        <f t="shared" si="108"/>
        <v>0</v>
      </c>
      <c r="E160" s="349">
        <f t="shared" si="108"/>
        <v>0</v>
      </c>
      <c r="F160" s="349">
        <f t="shared" si="108"/>
        <v>0</v>
      </c>
      <c r="G160" s="349">
        <f t="shared" si="108"/>
        <v>0</v>
      </c>
      <c r="H160" s="349">
        <f t="shared" si="108"/>
        <v>0</v>
      </c>
      <c r="I160" s="349">
        <f t="shared" si="108"/>
        <v>0</v>
      </c>
      <c r="J160" s="351"/>
      <c r="K160" s="354">
        <f t="shared" ref="K160" si="111">SUM(C160:I160)</f>
        <v>0</v>
      </c>
      <c r="L160" s="2"/>
    </row>
    <row r="161" spans="2:12" s="1" customFormat="1" ht="13.15" customHeight="1" x14ac:dyDescent="0.25">
      <c r="B161" s="845" t="s">
        <v>360</v>
      </c>
      <c r="C161" s="339">
        <f t="shared" ref="C161:I164" si="112">C25</f>
        <v>0</v>
      </c>
      <c r="D161" s="339">
        <f t="shared" si="112"/>
        <v>0</v>
      </c>
      <c r="E161" s="339">
        <f t="shared" si="112"/>
        <v>0</v>
      </c>
      <c r="F161" s="339">
        <f t="shared" si="112"/>
        <v>0</v>
      </c>
      <c r="G161" s="339">
        <f t="shared" si="112"/>
        <v>0</v>
      </c>
      <c r="H161" s="339">
        <f t="shared" si="112"/>
        <v>0</v>
      </c>
      <c r="I161" s="339">
        <f t="shared" si="112"/>
        <v>0</v>
      </c>
      <c r="J161" s="340"/>
      <c r="K161" s="855">
        <f>SUM(C161:I161)</f>
        <v>0</v>
      </c>
      <c r="L161" s="2"/>
    </row>
    <row r="162" spans="2:12" s="1" customFormat="1" ht="13.15" customHeight="1" x14ac:dyDescent="0.25">
      <c r="B162" s="846"/>
      <c r="C162" s="53">
        <f t="shared" si="112"/>
        <v>0</v>
      </c>
      <c r="D162" s="53">
        <f t="shared" si="112"/>
        <v>0</v>
      </c>
      <c r="E162" s="53">
        <f t="shared" si="112"/>
        <v>0</v>
      </c>
      <c r="F162" s="53">
        <f t="shared" si="112"/>
        <v>0</v>
      </c>
      <c r="G162" s="53">
        <f t="shared" si="112"/>
        <v>0</v>
      </c>
      <c r="H162" s="53">
        <f t="shared" si="112"/>
        <v>0</v>
      </c>
      <c r="I162" s="53">
        <f t="shared" si="112"/>
        <v>0</v>
      </c>
      <c r="J162" s="341"/>
      <c r="K162" s="856">
        <f>SUM(C162:I162)</f>
        <v>0</v>
      </c>
      <c r="L162" s="2"/>
    </row>
    <row r="163" spans="2:12" s="1" customFormat="1" ht="13.15" customHeight="1" x14ac:dyDescent="0.25">
      <c r="B163" s="846" t="s">
        <v>361</v>
      </c>
      <c r="C163" s="53">
        <f t="shared" si="112"/>
        <v>0</v>
      </c>
      <c r="D163" s="53">
        <f t="shared" si="112"/>
        <v>0</v>
      </c>
      <c r="E163" s="53">
        <f t="shared" si="112"/>
        <v>0</v>
      </c>
      <c r="F163" s="53">
        <f t="shared" si="112"/>
        <v>0</v>
      </c>
      <c r="G163" s="53">
        <f t="shared" si="112"/>
        <v>0</v>
      </c>
      <c r="H163" s="53">
        <f t="shared" si="112"/>
        <v>0</v>
      </c>
      <c r="I163" s="53">
        <f t="shared" si="112"/>
        <v>0</v>
      </c>
      <c r="J163" s="341"/>
      <c r="K163" s="856">
        <f>SUM(C163:I163)</f>
        <v>0</v>
      </c>
      <c r="L163" s="2"/>
    </row>
    <row r="164" spans="2:12" s="1" customFormat="1" ht="13.15" customHeight="1" x14ac:dyDescent="0.25">
      <c r="B164" s="846"/>
      <c r="C164" s="53">
        <f t="shared" si="112"/>
        <v>0</v>
      </c>
      <c r="D164" s="53">
        <f t="shared" si="112"/>
        <v>0</v>
      </c>
      <c r="E164" s="53">
        <f t="shared" si="112"/>
        <v>0</v>
      </c>
      <c r="F164" s="53">
        <f t="shared" si="112"/>
        <v>0</v>
      </c>
      <c r="G164" s="53">
        <f t="shared" si="112"/>
        <v>0</v>
      </c>
      <c r="H164" s="53">
        <f t="shared" si="112"/>
        <v>0</v>
      </c>
      <c r="I164" s="53">
        <f t="shared" si="112"/>
        <v>0</v>
      </c>
      <c r="J164" s="341"/>
      <c r="K164" s="856">
        <f>SUM(C164:I164)</f>
        <v>0</v>
      </c>
      <c r="L164" s="2"/>
    </row>
    <row r="165" spans="2:12" s="1" customFormat="1" ht="13.15" customHeight="1" x14ac:dyDescent="0.25">
      <c r="B165" s="846" t="s">
        <v>362</v>
      </c>
      <c r="C165" s="852">
        <v>0</v>
      </c>
      <c r="D165" s="853">
        <v>0</v>
      </c>
      <c r="E165" s="853">
        <v>0</v>
      </c>
      <c r="F165" s="853">
        <v>0</v>
      </c>
      <c r="G165" s="853">
        <v>0</v>
      </c>
      <c r="H165" s="853">
        <v>0</v>
      </c>
      <c r="I165" s="852">
        <v>0</v>
      </c>
      <c r="J165" s="854"/>
      <c r="K165" s="856">
        <f t="shared" ref="K165:K170" si="113">SUM(C165:I165)</f>
        <v>0</v>
      </c>
      <c r="L165" s="2"/>
    </row>
    <row r="166" spans="2:12" s="1" customFormat="1" ht="13.15" customHeight="1" x14ac:dyDescent="0.25">
      <c r="B166" s="846"/>
      <c r="C166" s="852">
        <v>0</v>
      </c>
      <c r="D166" s="853">
        <v>0</v>
      </c>
      <c r="E166" s="853">
        <v>0</v>
      </c>
      <c r="F166" s="853">
        <v>0</v>
      </c>
      <c r="G166" s="853">
        <v>0</v>
      </c>
      <c r="H166" s="853">
        <v>0</v>
      </c>
      <c r="I166" s="852">
        <v>0</v>
      </c>
      <c r="J166" s="854"/>
      <c r="K166" s="856">
        <f t="shared" si="113"/>
        <v>0</v>
      </c>
      <c r="L166" s="2"/>
    </row>
    <row r="167" spans="2:12" s="1" customFormat="1" ht="13.15" customHeight="1" x14ac:dyDescent="0.25">
      <c r="B167" s="846" t="s">
        <v>363</v>
      </c>
      <c r="C167" s="852">
        <v>0</v>
      </c>
      <c r="D167" s="853">
        <v>0</v>
      </c>
      <c r="E167" s="853">
        <v>0</v>
      </c>
      <c r="F167" s="853">
        <v>0</v>
      </c>
      <c r="G167" s="853">
        <v>0</v>
      </c>
      <c r="H167" s="853">
        <v>0</v>
      </c>
      <c r="I167" s="852">
        <v>0</v>
      </c>
      <c r="J167" s="854"/>
      <c r="K167" s="856">
        <f t="shared" si="113"/>
        <v>0</v>
      </c>
      <c r="L167" s="2"/>
    </row>
    <row r="168" spans="2:12" s="1" customFormat="1" ht="13.15" customHeight="1" thickBot="1" x14ac:dyDescent="0.3">
      <c r="B168" s="847"/>
      <c r="C168" s="852">
        <v>0</v>
      </c>
      <c r="D168" s="853">
        <v>0</v>
      </c>
      <c r="E168" s="853">
        <v>0</v>
      </c>
      <c r="F168" s="853">
        <v>0</v>
      </c>
      <c r="G168" s="853">
        <v>0</v>
      </c>
      <c r="H168" s="853">
        <v>0</v>
      </c>
      <c r="I168" s="852">
        <v>0</v>
      </c>
      <c r="J168" s="854"/>
      <c r="K168" s="857">
        <f t="shared" si="113"/>
        <v>0</v>
      </c>
      <c r="L168" s="2"/>
    </row>
    <row r="169" spans="2:12" s="1" customFormat="1" ht="13.15" customHeight="1" thickBot="1" x14ac:dyDescent="0.3">
      <c r="B169" s="848" t="s">
        <v>364</v>
      </c>
      <c r="C169" s="598">
        <f>C165+C166+C167+C168</f>
        <v>0</v>
      </c>
      <c r="D169" s="604">
        <f t="shared" ref="D169:I169" si="114">D165+D166+D167+D168</f>
        <v>0</v>
      </c>
      <c r="E169" s="604">
        <f t="shared" si="114"/>
        <v>0</v>
      </c>
      <c r="F169" s="604">
        <f t="shared" si="114"/>
        <v>0</v>
      </c>
      <c r="G169" s="604">
        <f t="shared" si="114"/>
        <v>0</v>
      </c>
      <c r="H169" s="604">
        <f t="shared" si="114"/>
        <v>0</v>
      </c>
      <c r="I169" s="605">
        <f t="shared" si="114"/>
        <v>0</v>
      </c>
      <c r="J169" s="606"/>
      <c r="K169" s="858">
        <f t="shared" si="113"/>
        <v>0</v>
      </c>
      <c r="L169" s="2"/>
    </row>
    <row r="170" spans="2:12" s="1" customFormat="1" ht="13.15" customHeight="1" x14ac:dyDescent="0.25">
      <c r="B170" s="849" t="s">
        <v>151</v>
      </c>
      <c r="C170" s="53">
        <f t="shared" ref="C170:I170" si="115">C165-C161</f>
        <v>0</v>
      </c>
      <c r="D170" s="240">
        <f t="shared" si="115"/>
        <v>0</v>
      </c>
      <c r="E170" s="240">
        <f t="shared" si="115"/>
        <v>0</v>
      </c>
      <c r="F170" s="240">
        <f t="shared" si="115"/>
        <v>0</v>
      </c>
      <c r="G170" s="240">
        <f t="shared" si="115"/>
        <v>0</v>
      </c>
      <c r="H170" s="240">
        <f t="shared" si="115"/>
        <v>0</v>
      </c>
      <c r="I170" s="53">
        <f t="shared" si="115"/>
        <v>0</v>
      </c>
      <c r="J170" s="341"/>
      <c r="K170" s="859">
        <f t="shared" si="113"/>
        <v>0</v>
      </c>
      <c r="L170" s="2"/>
    </row>
    <row r="171" spans="2:12" s="1" customFormat="1" ht="13.15" customHeight="1" x14ac:dyDescent="0.25">
      <c r="B171" s="847"/>
      <c r="C171" s="53">
        <f t="shared" ref="C171:I171" si="116">C166-C162</f>
        <v>0</v>
      </c>
      <c r="D171" s="240">
        <f t="shared" si="116"/>
        <v>0</v>
      </c>
      <c r="E171" s="240">
        <f t="shared" si="116"/>
        <v>0</v>
      </c>
      <c r="F171" s="240">
        <f t="shared" si="116"/>
        <v>0</v>
      </c>
      <c r="G171" s="240">
        <f t="shared" si="116"/>
        <v>0</v>
      </c>
      <c r="H171" s="240">
        <f t="shared" si="116"/>
        <v>0</v>
      </c>
      <c r="I171" s="53">
        <f t="shared" si="116"/>
        <v>0</v>
      </c>
      <c r="J171" s="341"/>
      <c r="K171" s="857">
        <f t="shared" ref="K171" si="117">SUM(C171:I171)</f>
        <v>0</v>
      </c>
      <c r="L171" s="2"/>
    </row>
    <row r="172" spans="2:12" s="1" customFormat="1" ht="13.15" customHeight="1" x14ac:dyDescent="0.25">
      <c r="B172" s="850" t="s">
        <v>152</v>
      </c>
      <c r="C172" s="53">
        <f t="shared" ref="C172:I172" si="118">C167-C163</f>
        <v>0</v>
      </c>
      <c r="D172" s="53">
        <f t="shared" si="118"/>
        <v>0</v>
      </c>
      <c r="E172" s="53">
        <f t="shared" si="118"/>
        <v>0</v>
      </c>
      <c r="F172" s="53">
        <f t="shared" si="118"/>
        <v>0</v>
      </c>
      <c r="G172" s="53">
        <f t="shared" si="118"/>
        <v>0</v>
      </c>
      <c r="H172" s="53">
        <f t="shared" si="118"/>
        <v>0</v>
      </c>
      <c r="I172" s="53">
        <f t="shared" si="118"/>
        <v>0</v>
      </c>
      <c r="J172" s="486"/>
      <c r="K172" s="857">
        <f t="shared" ref="K172:K173" si="119">SUM(C172:I172)</f>
        <v>0</v>
      </c>
      <c r="L172" s="2"/>
    </row>
    <row r="173" spans="2:12" s="1" customFormat="1" ht="13.15" customHeight="1" thickBot="1" x14ac:dyDescent="0.3">
      <c r="B173" s="851"/>
      <c r="C173" s="349">
        <f t="shared" ref="C173:I173" si="120">C168-C164</f>
        <v>0</v>
      </c>
      <c r="D173" s="349">
        <f t="shared" si="120"/>
        <v>0</v>
      </c>
      <c r="E173" s="349">
        <f t="shared" si="120"/>
        <v>0</v>
      </c>
      <c r="F173" s="349">
        <f t="shared" si="120"/>
        <v>0</v>
      </c>
      <c r="G173" s="349">
        <f t="shared" si="120"/>
        <v>0</v>
      </c>
      <c r="H173" s="349">
        <f t="shared" si="120"/>
        <v>0</v>
      </c>
      <c r="I173" s="349">
        <f t="shared" si="120"/>
        <v>0</v>
      </c>
      <c r="J173" s="351"/>
      <c r="K173" s="857">
        <f t="shared" si="119"/>
        <v>0</v>
      </c>
      <c r="L173" s="2"/>
    </row>
    <row r="174" spans="2:12" s="1" customFormat="1" ht="13.15" customHeight="1" x14ac:dyDescent="0.25">
      <c r="B174" s="608" t="s">
        <v>165</v>
      </c>
      <c r="C174" s="339">
        <f t="shared" ref="C174:I177" si="121">C29</f>
        <v>0</v>
      </c>
      <c r="D174" s="339">
        <f t="shared" si="121"/>
        <v>0</v>
      </c>
      <c r="E174" s="339">
        <f t="shared" si="121"/>
        <v>0</v>
      </c>
      <c r="F174" s="339">
        <f t="shared" si="121"/>
        <v>1200</v>
      </c>
      <c r="G174" s="339">
        <f t="shared" si="121"/>
        <v>1200</v>
      </c>
      <c r="H174" s="339">
        <f t="shared" si="121"/>
        <v>0</v>
      </c>
      <c r="I174" s="339">
        <f t="shared" si="121"/>
        <v>0</v>
      </c>
      <c r="J174" s="340"/>
      <c r="K174" s="620">
        <f>SUM(C174:I174)</f>
        <v>2400</v>
      </c>
      <c r="L174" s="2"/>
    </row>
    <row r="175" spans="2:12" s="1" customFormat="1" ht="13.15" customHeight="1" x14ac:dyDescent="0.25">
      <c r="B175" s="609"/>
      <c r="C175" s="53">
        <f t="shared" si="121"/>
        <v>0</v>
      </c>
      <c r="D175" s="53">
        <f t="shared" si="121"/>
        <v>0</v>
      </c>
      <c r="E175" s="53">
        <f t="shared" si="121"/>
        <v>0</v>
      </c>
      <c r="F175" s="53">
        <f t="shared" si="121"/>
        <v>0</v>
      </c>
      <c r="G175" s="53">
        <f t="shared" si="121"/>
        <v>0</v>
      </c>
      <c r="H175" s="53">
        <f t="shared" si="121"/>
        <v>0</v>
      </c>
      <c r="I175" s="53">
        <f t="shared" si="121"/>
        <v>0</v>
      </c>
      <c r="J175" s="341"/>
      <c r="K175" s="618">
        <f>SUM(C175:I175)</f>
        <v>0</v>
      </c>
      <c r="L175" s="2"/>
    </row>
    <row r="176" spans="2:12" s="1" customFormat="1" ht="13.15" customHeight="1" x14ac:dyDescent="0.25">
      <c r="B176" s="609" t="s">
        <v>166</v>
      </c>
      <c r="C176" s="53">
        <f t="shared" si="121"/>
        <v>0</v>
      </c>
      <c r="D176" s="53">
        <f t="shared" si="121"/>
        <v>0</v>
      </c>
      <c r="E176" s="53">
        <f t="shared" si="121"/>
        <v>0</v>
      </c>
      <c r="F176" s="53">
        <f t="shared" si="121"/>
        <v>0</v>
      </c>
      <c r="G176" s="53">
        <f t="shared" si="121"/>
        <v>0</v>
      </c>
      <c r="H176" s="53">
        <f t="shared" si="121"/>
        <v>0</v>
      </c>
      <c r="I176" s="53">
        <f t="shared" si="121"/>
        <v>0</v>
      </c>
      <c r="J176" s="341"/>
      <c r="K176" s="618">
        <f>SUM(C176:I176)</f>
        <v>0</v>
      </c>
      <c r="L176" s="2"/>
    </row>
    <row r="177" spans="2:12" s="1" customFormat="1" ht="13.15" customHeight="1" x14ac:dyDescent="0.25">
      <c r="B177" s="609"/>
      <c r="C177" s="53">
        <f t="shared" si="121"/>
        <v>0</v>
      </c>
      <c r="D177" s="53">
        <f t="shared" si="121"/>
        <v>0</v>
      </c>
      <c r="E177" s="53">
        <f t="shared" si="121"/>
        <v>0</v>
      </c>
      <c r="F177" s="53">
        <f t="shared" si="121"/>
        <v>0</v>
      </c>
      <c r="G177" s="53">
        <f t="shared" si="121"/>
        <v>0</v>
      </c>
      <c r="H177" s="53">
        <f t="shared" si="121"/>
        <v>0</v>
      </c>
      <c r="I177" s="53">
        <f t="shared" si="121"/>
        <v>0</v>
      </c>
      <c r="J177" s="341"/>
      <c r="K177" s="618">
        <f>SUM(C177:I177)</f>
        <v>0</v>
      </c>
      <c r="L177" s="2"/>
    </row>
    <row r="178" spans="2:12" s="1" customFormat="1" ht="13.15" customHeight="1" x14ac:dyDescent="0.25">
      <c r="B178" s="609" t="s">
        <v>167</v>
      </c>
      <c r="C178" s="615">
        <v>0</v>
      </c>
      <c r="D178" s="616">
        <v>0</v>
      </c>
      <c r="E178" s="616">
        <v>0</v>
      </c>
      <c r="F178" s="616">
        <v>0</v>
      </c>
      <c r="G178" s="616">
        <v>114</v>
      </c>
      <c r="H178" s="616">
        <v>0</v>
      </c>
      <c r="I178" s="615">
        <v>0</v>
      </c>
      <c r="J178" s="617"/>
      <c r="K178" s="618">
        <f t="shared" ref="K178:K183" si="122">SUM(C178:I178)</f>
        <v>114</v>
      </c>
      <c r="L178" s="2"/>
    </row>
    <row r="179" spans="2:12" s="1" customFormat="1" ht="13.15" customHeight="1" x14ac:dyDescent="0.25">
      <c r="B179" s="609"/>
      <c r="C179" s="615">
        <v>0</v>
      </c>
      <c r="D179" s="616">
        <v>0</v>
      </c>
      <c r="E179" s="616">
        <v>0</v>
      </c>
      <c r="F179" s="616">
        <v>0</v>
      </c>
      <c r="G179" s="616">
        <v>0</v>
      </c>
      <c r="H179" s="616">
        <v>0</v>
      </c>
      <c r="I179" s="615">
        <v>0</v>
      </c>
      <c r="J179" s="617"/>
      <c r="K179" s="618">
        <f t="shared" si="122"/>
        <v>0</v>
      </c>
      <c r="L179" s="2"/>
    </row>
    <row r="180" spans="2:12" s="1" customFormat="1" ht="13.15" customHeight="1" x14ac:dyDescent="0.25">
      <c r="B180" s="609" t="s">
        <v>168</v>
      </c>
      <c r="C180" s="615">
        <v>0</v>
      </c>
      <c r="D180" s="616">
        <v>0</v>
      </c>
      <c r="E180" s="616">
        <v>0</v>
      </c>
      <c r="F180" s="616">
        <v>0</v>
      </c>
      <c r="G180" s="616">
        <v>0</v>
      </c>
      <c r="H180" s="616">
        <v>0</v>
      </c>
      <c r="I180" s="615">
        <v>0</v>
      </c>
      <c r="J180" s="617"/>
      <c r="K180" s="618">
        <f t="shared" si="122"/>
        <v>0</v>
      </c>
      <c r="L180" s="2"/>
    </row>
    <row r="181" spans="2:12" s="1" customFormat="1" ht="13.15" customHeight="1" thickBot="1" x14ac:dyDescent="0.3">
      <c r="B181" s="610"/>
      <c r="C181" s="615">
        <v>0</v>
      </c>
      <c r="D181" s="616">
        <v>0</v>
      </c>
      <c r="E181" s="616">
        <v>0</v>
      </c>
      <c r="F181" s="616">
        <v>0</v>
      </c>
      <c r="G181" s="616">
        <v>0</v>
      </c>
      <c r="H181" s="616">
        <v>0</v>
      </c>
      <c r="I181" s="615">
        <v>0</v>
      </c>
      <c r="J181" s="617"/>
      <c r="K181" s="619">
        <f t="shared" si="122"/>
        <v>0</v>
      </c>
      <c r="L181" s="2"/>
    </row>
    <row r="182" spans="2:12" s="1" customFormat="1" ht="13.15" customHeight="1" thickBot="1" x14ac:dyDescent="0.3">
      <c r="B182" s="611" t="s">
        <v>169</v>
      </c>
      <c r="C182" s="598">
        <f>C178+C179+C180+C181</f>
        <v>0</v>
      </c>
      <c r="D182" s="604">
        <f t="shared" ref="D182" si="123">D178+D179+D180+D181</f>
        <v>0</v>
      </c>
      <c r="E182" s="604">
        <f t="shared" ref="E182" si="124">E178+E179+E180+E181</f>
        <v>0</v>
      </c>
      <c r="F182" s="604">
        <f t="shared" ref="F182" si="125">F178+F179+F180+F181</f>
        <v>0</v>
      </c>
      <c r="G182" s="604">
        <f t="shared" ref="G182" si="126">G178+G179+G180+G181</f>
        <v>114</v>
      </c>
      <c r="H182" s="604">
        <f t="shared" ref="H182" si="127">H178+H179+H180+H181</f>
        <v>0</v>
      </c>
      <c r="I182" s="605">
        <f t="shared" ref="I182" si="128">I178+I179+I180+I181</f>
        <v>0</v>
      </c>
      <c r="J182" s="606"/>
      <c r="K182" s="621">
        <f t="shared" si="122"/>
        <v>114</v>
      </c>
      <c r="L182" s="2"/>
    </row>
    <row r="183" spans="2:12" s="1" customFormat="1" ht="13.15" customHeight="1" x14ac:dyDescent="0.25">
      <c r="B183" s="612" t="s">
        <v>151</v>
      </c>
      <c r="C183" s="53">
        <f t="shared" ref="C183:I186" si="129">C178-C174</f>
        <v>0</v>
      </c>
      <c r="D183" s="240">
        <f t="shared" si="129"/>
        <v>0</v>
      </c>
      <c r="E183" s="240">
        <f t="shared" si="129"/>
        <v>0</v>
      </c>
      <c r="F183" s="240">
        <f t="shared" si="129"/>
        <v>-1200</v>
      </c>
      <c r="G183" s="240">
        <f t="shared" si="129"/>
        <v>-1086</v>
      </c>
      <c r="H183" s="240">
        <f t="shared" si="129"/>
        <v>0</v>
      </c>
      <c r="I183" s="53">
        <f t="shared" si="129"/>
        <v>0</v>
      </c>
      <c r="J183" s="341"/>
      <c r="K183" s="622">
        <f t="shared" si="122"/>
        <v>-2286</v>
      </c>
      <c r="L183" s="2"/>
    </row>
    <row r="184" spans="2:12" s="1" customFormat="1" ht="13.15" customHeight="1" x14ac:dyDescent="0.25">
      <c r="B184" s="610"/>
      <c r="C184" s="53">
        <f t="shared" si="129"/>
        <v>0</v>
      </c>
      <c r="D184" s="240">
        <f t="shared" si="129"/>
        <v>0</v>
      </c>
      <c r="E184" s="240">
        <f t="shared" si="129"/>
        <v>0</v>
      </c>
      <c r="F184" s="240">
        <f t="shared" si="129"/>
        <v>0</v>
      </c>
      <c r="G184" s="240">
        <f t="shared" si="129"/>
        <v>0</v>
      </c>
      <c r="H184" s="240">
        <f t="shared" si="129"/>
        <v>0</v>
      </c>
      <c r="I184" s="53">
        <f t="shared" si="129"/>
        <v>0</v>
      </c>
      <c r="J184" s="341"/>
      <c r="K184" s="619">
        <f t="shared" ref="K184" si="130">SUM(C184:I184)</f>
        <v>0</v>
      </c>
      <c r="L184" s="2"/>
    </row>
    <row r="185" spans="2:12" s="1" customFormat="1" ht="13.15" customHeight="1" x14ac:dyDescent="0.25">
      <c r="B185" s="613" t="s">
        <v>152</v>
      </c>
      <c r="C185" s="53">
        <f t="shared" si="129"/>
        <v>0</v>
      </c>
      <c r="D185" s="53">
        <f t="shared" si="129"/>
        <v>0</v>
      </c>
      <c r="E185" s="53">
        <f t="shared" si="129"/>
        <v>0</v>
      </c>
      <c r="F185" s="53">
        <f t="shared" si="129"/>
        <v>0</v>
      </c>
      <c r="G185" s="53">
        <f t="shared" si="129"/>
        <v>0</v>
      </c>
      <c r="H185" s="53">
        <f t="shared" si="129"/>
        <v>0</v>
      </c>
      <c r="I185" s="53">
        <f t="shared" si="129"/>
        <v>0</v>
      </c>
      <c r="J185" s="486"/>
      <c r="K185" s="619">
        <f t="shared" ref="K185:K186" si="131">SUM(C185:I185)</f>
        <v>0</v>
      </c>
      <c r="L185" s="2"/>
    </row>
    <row r="186" spans="2:12" s="1" customFormat="1" ht="13.15" customHeight="1" thickBot="1" x14ac:dyDescent="0.3">
      <c r="B186" s="614"/>
      <c r="C186" s="349">
        <f t="shared" si="129"/>
        <v>0</v>
      </c>
      <c r="D186" s="349">
        <f t="shared" si="129"/>
        <v>0</v>
      </c>
      <c r="E186" s="349">
        <f t="shared" si="129"/>
        <v>0</v>
      </c>
      <c r="F186" s="349">
        <f t="shared" si="129"/>
        <v>0</v>
      </c>
      <c r="G186" s="349">
        <f t="shared" si="129"/>
        <v>0</v>
      </c>
      <c r="H186" s="349">
        <f t="shared" si="129"/>
        <v>0</v>
      </c>
      <c r="I186" s="349">
        <f t="shared" si="129"/>
        <v>0</v>
      </c>
      <c r="J186" s="351"/>
      <c r="K186" s="619">
        <f t="shared" si="131"/>
        <v>0</v>
      </c>
      <c r="L186" s="2"/>
    </row>
    <row r="187" spans="2:12" s="1" customFormat="1" ht="13.15" customHeight="1" x14ac:dyDescent="0.25">
      <c r="B187" s="623" t="s">
        <v>170</v>
      </c>
      <c r="C187" s="339">
        <f t="shared" ref="C187:I190" si="132">C33</f>
        <v>0</v>
      </c>
      <c r="D187" s="339">
        <f t="shared" si="132"/>
        <v>0</v>
      </c>
      <c r="E187" s="339">
        <f t="shared" si="132"/>
        <v>0</v>
      </c>
      <c r="F187" s="339">
        <f t="shared" si="132"/>
        <v>0</v>
      </c>
      <c r="G187" s="339">
        <f t="shared" si="132"/>
        <v>0</v>
      </c>
      <c r="H187" s="339">
        <f t="shared" si="132"/>
        <v>0</v>
      </c>
      <c r="I187" s="339">
        <f t="shared" si="132"/>
        <v>0</v>
      </c>
      <c r="J187" s="340"/>
      <c r="K187" s="635">
        <f>SUM(C187:I187)</f>
        <v>0</v>
      </c>
      <c r="L187" s="2"/>
    </row>
    <row r="188" spans="2:12" s="1" customFormat="1" ht="13.15" customHeight="1" x14ac:dyDescent="0.25">
      <c r="B188" s="624"/>
      <c r="C188" s="53">
        <f t="shared" si="132"/>
        <v>0</v>
      </c>
      <c r="D188" s="53">
        <f t="shared" si="132"/>
        <v>0</v>
      </c>
      <c r="E188" s="53">
        <f t="shared" si="132"/>
        <v>0</v>
      </c>
      <c r="F188" s="53">
        <f t="shared" si="132"/>
        <v>0</v>
      </c>
      <c r="G188" s="53">
        <f t="shared" si="132"/>
        <v>0</v>
      </c>
      <c r="H188" s="53">
        <f t="shared" si="132"/>
        <v>0</v>
      </c>
      <c r="I188" s="53">
        <f t="shared" si="132"/>
        <v>0</v>
      </c>
      <c r="J188" s="341"/>
      <c r="K188" s="633">
        <f>SUM(C188:I188)</f>
        <v>0</v>
      </c>
      <c r="L188" s="2"/>
    </row>
    <row r="189" spans="2:12" s="1" customFormat="1" ht="13.15" customHeight="1" x14ac:dyDescent="0.25">
      <c r="B189" s="624" t="s">
        <v>171</v>
      </c>
      <c r="C189" s="53">
        <f t="shared" si="132"/>
        <v>0</v>
      </c>
      <c r="D189" s="53">
        <f t="shared" si="132"/>
        <v>0</v>
      </c>
      <c r="E189" s="53">
        <f t="shared" si="132"/>
        <v>0</v>
      </c>
      <c r="F189" s="53">
        <f t="shared" si="132"/>
        <v>0</v>
      </c>
      <c r="G189" s="53">
        <f t="shared" si="132"/>
        <v>0</v>
      </c>
      <c r="H189" s="53">
        <f t="shared" si="132"/>
        <v>0</v>
      </c>
      <c r="I189" s="53">
        <f t="shared" si="132"/>
        <v>0</v>
      </c>
      <c r="J189" s="341"/>
      <c r="K189" s="633">
        <f>SUM(C189:I189)</f>
        <v>0</v>
      </c>
      <c r="L189" s="2"/>
    </row>
    <row r="190" spans="2:12" s="1" customFormat="1" ht="13.15" customHeight="1" x14ac:dyDescent="0.25">
      <c r="B190" s="624"/>
      <c r="C190" s="53">
        <f t="shared" si="132"/>
        <v>0</v>
      </c>
      <c r="D190" s="53">
        <f t="shared" si="132"/>
        <v>0</v>
      </c>
      <c r="E190" s="53">
        <f t="shared" si="132"/>
        <v>0</v>
      </c>
      <c r="F190" s="53">
        <f t="shared" si="132"/>
        <v>0</v>
      </c>
      <c r="G190" s="53">
        <f t="shared" si="132"/>
        <v>0</v>
      </c>
      <c r="H190" s="53">
        <f t="shared" si="132"/>
        <v>0</v>
      </c>
      <c r="I190" s="53">
        <f t="shared" si="132"/>
        <v>0</v>
      </c>
      <c r="J190" s="341"/>
      <c r="K190" s="633">
        <f>SUM(C190:I190)</f>
        <v>0</v>
      </c>
      <c r="L190" s="2"/>
    </row>
    <row r="191" spans="2:12" s="1" customFormat="1" ht="13.15" customHeight="1" x14ac:dyDescent="0.25">
      <c r="B191" s="624" t="s">
        <v>172</v>
      </c>
      <c r="C191" s="630">
        <v>0</v>
      </c>
      <c r="D191" s="631">
        <v>0</v>
      </c>
      <c r="E191" s="631">
        <v>0</v>
      </c>
      <c r="F191" s="631">
        <v>0</v>
      </c>
      <c r="G191" s="631">
        <v>0</v>
      </c>
      <c r="H191" s="631">
        <v>0</v>
      </c>
      <c r="I191" s="630">
        <v>0</v>
      </c>
      <c r="J191" s="632"/>
      <c r="K191" s="633">
        <f t="shared" ref="K191:K196" si="133">SUM(C191:I191)</f>
        <v>0</v>
      </c>
      <c r="L191" s="2"/>
    </row>
    <row r="192" spans="2:12" s="1" customFormat="1" ht="13.15" customHeight="1" x14ac:dyDescent="0.25">
      <c r="B192" s="624"/>
      <c r="C192" s="630">
        <v>0</v>
      </c>
      <c r="D192" s="631">
        <v>0</v>
      </c>
      <c r="E192" s="631">
        <v>0</v>
      </c>
      <c r="F192" s="631">
        <v>0</v>
      </c>
      <c r="G192" s="631">
        <v>0</v>
      </c>
      <c r="H192" s="631">
        <v>0</v>
      </c>
      <c r="I192" s="630">
        <v>0</v>
      </c>
      <c r="J192" s="632"/>
      <c r="K192" s="633">
        <f t="shared" si="133"/>
        <v>0</v>
      </c>
      <c r="L192" s="2"/>
    </row>
    <row r="193" spans="2:12" s="1" customFormat="1" ht="13.15" customHeight="1" x14ac:dyDescent="0.25">
      <c r="B193" s="624" t="s">
        <v>173</v>
      </c>
      <c r="C193" s="630">
        <v>0</v>
      </c>
      <c r="D193" s="631">
        <v>0</v>
      </c>
      <c r="E193" s="631">
        <v>0</v>
      </c>
      <c r="F193" s="631">
        <v>0</v>
      </c>
      <c r="G193" s="631">
        <v>0</v>
      </c>
      <c r="H193" s="631">
        <v>0</v>
      </c>
      <c r="I193" s="630">
        <v>0</v>
      </c>
      <c r="J193" s="632"/>
      <c r="K193" s="633">
        <f t="shared" si="133"/>
        <v>0</v>
      </c>
      <c r="L193" s="2"/>
    </row>
    <row r="194" spans="2:12" s="1" customFormat="1" ht="13.15" customHeight="1" thickBot="1" x14ac:dyDescent="0.3">
      <c r="B194" s="625"/>
      <c r="C194" s="630">
        <v>0</v>
      </c>
      <c r="D194" s="631">
        <v>0</v>
      </c>
      <c r="E194" s="631">
        <v>0</v>
      </c>
      <c r="F194" s="631">
        <v>0</v>
      </c>
      <c r="G194" s="631">
        <v>0</v>
      </c>
      <c r="H194" s="631">
        <v>0</v>
      </c>
      <c r="I194" s="630">
        <v>0</v>
      </c>
      <c r="J194" s="632"/>
      <c r="K194" s="634">
        <f t="shared" si="133"/>
        <v>0</v>
      </c>
      <c r="L194" s="2"/>
    </row>
    <row r="195" spans="2:12" s="1" customFormat="1" ht="13.15" customHeight="1" thickBot="1" x14ac:dyDescent="0.3">
      <c r="B195" s="626" t="s">
        <v>174</v>
      </c>
      <c r="C195" s="598">
        <f>C191+C192+C193+C194</f>
        <v>0</v>
      </c>
      <c r="D195" s="604">
        <f t="shared" ref="D195" si="134">D191+D192+D193+D194</f>
        <v>0</v>
      </c>
      <c r="E195" s="604">
        <f t="shared" ref="E195" si="135">E191+E192+E193+E194</f>
        <v>0</v>
      </c>
      <c r="F195" s="604">
        <f t="shared" ref="F195" si="136">F191+F192+F193+F194</f>
        <v>0</v>
      </c>
      <c r="G195" s="604">
        <f t="shared" ref="G195" si="137">G191+G192+G193+G194</f>
        <v>0</v>
      </c>
      <c r="H195" s="604">
        <f t="shared" ref="H195" si="138">H191+H192+H193+H194</f>
        <v>0</v>
      </c>
      <c r="I195" s="605">
        <f t="shared" ref="I195" si="139">I191+I192+I193+I194</f>
        <v>0</v>
      </c>
      <c r="J195" s="606"/>
      <c r="K195" s="636">
        <f t="shared" si="133"/>
        <v>0</v>
      </c>
      <c r="L195" s="2"/>
    </row>
    <row r="196" spans="2:12" s="1" customFormat="1" ht="13.15" customHeight="1" x14ac:dyDescent="0.25">
      <c r="B196" s="627" t="s">
        <v>151</v>
      </c>
      <c r="C196" s="53">
        <f t="shared" ref="C196:I199" si="140">C191-C187</f>
        <v>0</v>
      </c>
      <c r="D196" s="240">
        <f t="shared" si="140"/>
        <v>0</v>
      </c>
      <c r="E196" s="240">
        <f t="shared" si="140"/>
        <v>0</v>
      </c>
      <c r="F196" s="240">
        <f t="shared" si="140"/>
        <v>0</v>
      </c>
      <c r="G196" s="240">
        <f t="shared" si="140"/>
        <v>0</v>
      </c>
      <c r="H196" s="240">
        <f t="shared" si="140"/>
        <v>0</v>
      </c>
      <c r="I196" s="53">
        <f t="shared" si="140"/>
        <v>0</v>
      </c>
      <c r="J196" s="341"/>
      <c r="K196" s="637">
        <f t="shared" si="133"/>
        <v>0</v>
      </c>
      <c r="L196" s="2"/>
    </row>
    <row r="197" spans="2:12" s="1" customFormat="1" ht="13.15" customHeight="1" x14ac:dyDescent="0.25">
      <c r="B197" s="625"/>
      <c r="C197" s="53">
        <f t="shared" si="140"/>
        <v>0</v>
      </c>
      <c r="D197" s="240">
        <f t="shared" si="140"/>
        <v>0</v>
      </c>
      <c r="E197" s="240">
        <f t="shared" si="140"/>
        <v>0</v>
      </c>
      <c r="F197" s="240">
        <f t="shared" si="140"/>
        <v>0</v>
      </c>
      <c r="G197" s="240">
        <f t="shared" si="140"/>
        <v>0</v>
      </c>
      <c r="H197" s="240">
        <f t="shared" si="140"/>
        <v>0</v>
      </c>
      <c r="I197" s="53">
        <f t="shared" si="140"/>
        <v>0</v>
      </c>
      <c r="J197" s="341"/>
      <c r="K197" s="634">
        <f t="shared" ref="K197" si="141">SUM(C197:I197)</f>
        <v>0</v>
      </c>
      <c r="L197" s="2"/>
    </row>
    <row r="198" spans="2:12" s="1" customFormat="1" ht="13.15" customHeight="1" x14ac:dyDescent="0.25">
      <c r="B198" s="628" t="s">
        <v>152</v>
      </c>
      <c r="C198" s="53">
        <f t="shared" si="140"/>
        <v>0</v>
      </c>
      <c r="D198" s="53">
        <f t="shared" si="140"/>
        <v>0</v>
      </c>
      <c r="E198" s="53">
        <f t="shared" si="140"/>
        <v>0</v>
      </c>
      <c r="F198" s="53">
        <f t="shared" si="140"/>
        <v>0</v>
      </c>
      <c r="G198" s="53">
        <f t="shared" si="140"/>
        <v>0</v>
      </c>
      <c r="H198" s="53">
        <f t="shared" si="140"/>
        <v>0</v>
      </c>
      <c r="I198" s="53">
        <f t="shared" si="140"/>
        <v>0</v>
      </c>
      <c r="J198" s="486"/>
      <c r="K198" s="634">
        <f t="shared" ref="K198:K199" si="142">SUM(C198:I198)</f>
        <v>0</v>
      </c>
      <c r="L198" s="2"/>
    </row>
    <row r="199" spans="2:12" s="1" customFormat="1" ht="13.15" customHeight="1" thickBot="1" x14ac:dyDescent="0.3">
      <c r="B199" s="629"/>
      <c r="C199" s="349">
        <f t="shared" si="140"/>
        <v>0</v>
      </c>
      <c r="D199" s="349">
        <f t="shared" si="140"/>
        <v>0</v>
      </c>
      <c r="E199" s="349">
        <f t="shared" si="140"/>
        <v>0</v>
      </c>
      <c r="F199" s="349">
        <f t="shared" si="140"/>
        <v>0</v>
      </c>
      <c r="G199" s="349">
        <f t="shared" si="140"/>
        <v>0</v>
      </c>
      <c r="H199" s="349">
        <f t="shared" si="140"/>
        <v>0</v>
      </c>
      <c r="I199" s="349">
        <f t="shared" si="140"/>
        <v>0</v>
      </c>
      <c r="J199" s="351"/>
      <c r="K199" s="634">
        <f t="shared" si="142"/>
        <v>0</v>
      </c>
      <c r="L199" s="2"/>
    </row>
    <row r="200" spans="2:12" s="1" customFormat="1" ht="13.15" customHeight="1" x14ac:dyDescent="0.25">
      <c r="B200" s="226" t="s">
        <v>175</v>
      </c>
      <c r="C200" s="291">
        <f t="shared" ref="C200:I207" si="143">C109+C122+C135+C148+C174+C187+C161</f>
        <v>1200</v>
      </c>
      <c r="D200" s="214">
        <f t="shared" ref="D200:I200" si="144">D109+D122+D135+D148+D174+D187+D161</f>
        <v>1200</v>
      </c>
      <c r="E200" s="214">
        <f t="shared" si="144"/>
        <v>1200</v>
      </c>
      <c r="F200" s="214">
        <f t="shared" si="144"/>
        <v>1200</v>
      </c>
      <c r="G200" s="214">
        <f t="shared" si="144"/>
        <v>1200</v>
      </c>
      <c r="H200" s="214">
        <f t="shared" si="144"/>
        <v>0</v>
      </c>
      <c r="I200" s="214">
        <f t="shared" si="144"/>
        <v>0</v>
      </c>
      <c r="J200" s="222"/>
      <c r="K200" s="358">
        <f t="shared" ref="K200:K210" si="145">SUM(C200:I200)</f>
        <v>6000</v>
      </c>
      <c r="L200" s="2"/>
    </row>
    <row r="201" spans="2:12" s="1" customFormat="1" ht="13.15" customHeight="1" x14ac:dyDescent="0.25">
      <c r="B201" s="229"/>
      <c r="C201" s="289">
        <f t="shared" si="143"/>
        <v>0</v>
      </c>
      <c r="D201" s="200">
        <f t="shared" ref="D201:I201" si="146">D110+D123+D136+D149+D175+D188+D162</f>
        <v>0</v>
      </c>
      <c r="E201" s="200">
        <f t="shared" si="146"/>
        <v>0</v>
      </c>
      <c r="F201" s="200">
        <f t="shared" si="146"/>
        <v>0</v>
      </c>
      <c r="G201" s="200">
        <f t="shared" si="146"/>
        <v>0</v>
      </c>
      <c r="H201" s="200">
        <f t="shared" si="146"/>
        <v>0</v>
      </c>
      <c r="I201" s="200">
        <f t="shared" si="146"/>
        <v>0</v>
      </c>
      <c r="J201" s="223"/>
      <c r="K201" s="359">
        <f t="shared" si="145"/>
        <v>0</v>
      </c>
      <c r="L201" s="2"/>
    </row>
    <row r="202" spans="2:12" s="1" customFormat="1" ht="13.15" customHeight="1" x14ac:dyDescent="0.25">
      <c r="B202" s="229" t="s">
        <v>176</v>
      </c>
      <c r="C202" s="289">
        <f t="shared" si="143"/>
        <v>0</v>
      </c>
      <c r="D202" s="200">
        <f t="shared" ref="D202:I202" si="147">D111+D124+D137+D150+D176+D189+D163</f>
        <v>0</v>
      </c>
      <c r="E202" s="200">
        <f t="shared" si="147"/>
        <v>0</v>
      </c>
      <c r="F202" s="200">
        <f t="shared" si="147"/>
        <v>0</v>
      </c>
      <c r="G202" s="200">
        <f t="shared" si="147"/>
        <v>0</v>
      </c>
      <c r="H202" s="200">
        <f t="shared" si="147"/>
        <v>0</v>
      </c>
      <c r="I202" s="200">
        <f t="shared" si="147"/>
        <v>0</v>
      </c>
      <c r="J202" s="223"/>
      <c r="K202" s="359">
        <f t="shared" ref="K202" si="148">SUM(C202:I202)</f>
        <v>0</v>
      </c>
      <c r="L202" s="2"/>
    </row>
    <row r="203" spans="2:12" s="1" customFormat="1" ht="13.15" customHeight="1" x14ac:dyDescent="0.25">
      <c r="B203" s="229"/>
      <c r="C203" s="289">
        <f t="shared" si="143"/>
        <v>0</v>
      </c>
      <c r="D203" s="200">
        <f t="shared" ref="D203:I203" si="149">D112+D125+D138+D151+D177+D190+D164</f>
        <v>0</v>
      </c>
      <c r="E203" s="200">
        <f t="shared" si="149"/>
        <v>0</v>
      </c>
      <c r="F203" s="200">
        <f t="shared" si="149"/>
        <v>0</v>
      </c>
      <c r="G203" s="200">
        <f t="shared" si="149"/>
        <v>0</v>
      </c>
      <c r="H203" s="200">
        <f t="shared" si="149"/>
        <v>0</v>
      </c>
      <c r="I203" s="200">
        <f t="shared" si="149"/>
        <v>0</v>
      </c>
      <c r="J203" s="223"/>
      <c r="K203" s="359">
        <f t="shared" ref="K203" si="150">SUM(C203:I203)</f>
        <v>0</v>
      </c>
      <c r="L203" s="2"/>
    </row>
    <row r="204" spans="2:12" s="1" customFormat="1" ht="13.15" customHeight="1" x14ac:dyDescent="0.25">
      <c r="B204" s="292" t="s">
        <v>177</v>
      </c>
      <c r="C204" s="227">
        <f>C113+C126+C139+C152+C178+C191+C165</f>
        <v>1001</v>
      </c>
      <c r="D204" s="227">
        <f t="shared" ref="D204:I204" si="151">D113+D126+D139+D152+D178+D191+D165</f>
        <v>825</v>
      </c>
      <c r="E204" s="227">
        <f t="shared" si="151"/>
        <v>942</v>
      </c>
      <c r="F204" s="227">
        <f t="shared" si="151"/>
        <v>1041</v>
      </c>
      <c r="G204" s="227">
        <f t="shared" si="151"/>
        <v>1040</v>
      </c>
      <c r="H204" s="227">
        <f t="shared" si="151"/>
        <v>0</v>
      </c>
      <c r="I204" s="227">
        <f t="shared" si="151"/>
        <v>0</v>
      </c>
      <c r="J204" s="356"/>
      <c r="K204" s="360">
        <f t="shared" si="145"/>
        <v>4849</v>
      </c>
      <c r="L204" s="2"/>
    </row>
    <row r="205" spans="2:12" s="1" customFormat="1" ht="13.15" customHeight="1" x14ac:dyDescent="0.25">
      <c r="B205" s="292"/>
      <c r="C205" s="290">
        <f>C114+C127+C140+C153+C179+C192+C166</f>
        <v>0</v>
      </c>
      <c r="D205" s="290">
        <f t="shared" ref="D205:I205" si="152">D114+D127+D140+D153+D179+D192+D166</f>
        <v>0</v>
      </c>
      <c r="E205" s="290">
        <f t="shared" si="152"/>
        <v>0</v>
      </c>
      <c r="F205" s="290">
        <f t="shared" si="152"/>
        <v>0</v>
      </c>
      <c r="G205" s="290">
        <f t="shared" si="152"/>
        <v>0</v>
      </c>
      <c r="H205" s="290">
        <f t="shared" si="152"/>
        <v>0</v>
      </c>
      <c r="I205" s="290">
        <f t="shared" si="152"/>
        <v>0</v>
      </c>
      <c r="J205" s="355"/>
      <c r="K205" s="360">
        <f t="shared" si="145"/>
        <v>0</v>
      </c>
      <c r="L205" s="2"/>
    </row>
    <row r="206" spans="2:12" s="1" customFormat="1" ht="13.15" customHeight="1" x14ac:dyDescent="0.25">
      <c r="B206" s="292" t="s">
        <v>178</v>
      </c>
      <c r="C206" s="290">
        <f t="shared" si="143"/>
        <v>0</v>
      </c>
      <c r="D206" s="290">
        <f t="shared" si="143"/>
        <v>0</v>
      </c>
      <c r="E206" s="290">
        <f t="shared" si="143"/>
        <v>0</v>
      </c>
      <c r="F206" s="290">
        <f t="shared" si="143"/>
        <v>0</v>
      </c>
      <c r="G206" s="290">
        <f t="shared" si="143"/>
        <v>0</v>
      </c>
      <c r="H206" s="290">
        <f t="shared" si="143"/>
        <v>0</v>
      </c>
      <c r="I206" s="290">
        <f t="shared" si="143"/>
        <v>0</v>
      </c>
      <c r="J206" s="489"/>
      <c r="K206" s="360">
        <f t="shared" ref="K206" si="153">SUM(C206:I206)</f>
        <v>0</v>
      </c>
      <c r="L206" s="2"/>
    </row>
    <row r="207" spans="2:12" s="1" customFormat="1" ht="13.15" customHeight="1" x14ac:dyDescent="0.25">
      <c r="B207" s="292"/>
      <c r="C207" s="228">
        <f t="shared" si="143"/>
        <v>0</v>
      </c>
      <c r="D207" s="228">
        <f t="shared" si="143"/>
        <v>0</v>
      </c>
      <c r="E207" s="228">
        <f t="shared" si="143"/>
        <v>0</v>
      </c>
      <c r="F207" s="228">
        <f t="shared" si="143"/>
        <v>0</v>
      </c>
      <c r="G207" s="228">
        <f t="shared" si="143"/>
        <v>0</v>
      </c>
      <c r="H207" s="228">
        <f t="shared" si="143"/>
        <v>0</v>
      </c>
      <c r="I207" s="228">
        <f t="shared" si="143"/>
        <v>0</v>
      </c>
      <c r="J207" s="357"/>
      <c r="K207" s="360">
        <f>SUM(C207:I207)</f>
        <v>0</v>
      </c>
      <c r="L207" s="2"/>
    </row>
    <row r="208" spans="2:12" s="1" customFormat="1" ht="13.15" customHeight="1" x14ac:dyDescent="0.25">
      <c r="B208" s="229" t="s">
        <v>179</v>
      </c>
      <c r="C208" s="200">
        <f>C204-C200</f>
        <v>-199</v>
      </c>
      <c r="D208" s="200">
        <f>D204-D200</f>
        <v>-375</v>
      </c>
      <c r="E208" s="200">
        <f t="shared" ref="D208:I211" si="154">E204-E200</f>
        <v>-258</v>
      </c>
      <c r="F208" s="200">
        <f t="shared" si="154"/>
        <v>-159</v>
      </c>
      <c r="G208" s="200">
        <f>G204-G200</f>
        <v>-160</v>
      </c>
      <c r="H208" s="200">
        <f t="shared" si="154"/>
        <v>0</v>
      </c>
      <c r="I208" s="200">
        <f t="shared" si="154"/>
        <v>0</v>
      </c>
      <c r="J208" s="223"/>
      <c r="K208" s="360">
        <f t="shared" si="145"/>
        <v>-1151</v>
      </c>
      <c r="L208" s="2"/>
    </row>
    <row r="209" spans="2:12" s="1" customFormat="1" ht="13.15" customHeight="1" x14ac:dyDescent="0.25">
      <c r="B209" s="229"/>
      <c r="C209" s="200">
        <f>C205-C201</f>
        <v>0</v>
      </c>
      <c r="D209" s="200">
        <f t="shared" si="154"/>
        <v>0</v>
      </c>
      <c r="E209" s="200">
        <f>E205-E201</f>
        <v>0</v>
      </c>
      <c r="F209" s="200">
        <f t="shared" si="154"/>
        <v>0</v>
      </c>
      <c r="G209" s="200">
        <f t="shared" si="154"/>
        <v>0</v>
      </c>
      <c r="H209" s="200">
        <f t="shared" si="154"/>
        <v>0</v>
      </c>
      <c r="I209" s="200">
        <f t="shared" si="154"/>
        <v>0</v>
      </c>
      <c r="J209" s="223"/>
      <c r="K209" s="360">
        <f t="shared" si="145"/>
        <v>0</v>
      </c>
      <c r="L209" s="2"/>
    </row>
    <row r="210" spans="2:12" s="1" customFormat="1" ht="13.15" customHeight="1" x14ac:dyDescent="0.25">
      <c r="B210" s="229" t="s">
        <v>180</v>
      </c>
      <c r="C210" s="200">
        <f>C206-C202</f>
        <v>0</v>
      </c>
      <c r="D210" s="200">
        <f t="shared" si="154"/>
        <v>0</v>
      </c>
      <c r="E210" s="200">
        <f t="shared" si="154"/>
        <v>0</v>
      </c>
      <c r="F210" s="200">
        <f>F206-F202</f>
        <v>0</v>
      </c>
      <c r="G210" s="200">
        <f t="shared" si="154"/>
        <v>0</v>
      </c>
      <c r="H210" s="200">
        <f t="shared" si="154"/>
        <v>0</v>
      </c>
      <c r="I210" s="200">
        <f t="shared" si="154"/>
        <v>0</v>
      </c>
      <c r="J210" s="490"/>
      <c r="K210" s="359">
        <f t="shared" si="145"/>
        <v>0</v>
      </c>
      <c r="L210" s="2"/>
    </row>
    <row r="211" spans="2:12" s="1" customFormat="1" ht="13.15" customHeight="1" thickBot="1" x14ac:dyDescent="0.3">
      <c r="B211" s="492"/>
      <c r="C211" s="215">
        <f>C207-C203</f>
        <v>0</v>
      </c>
      <c r="D211" s="215">
        <f t="shared" si="154"/>
        <v>0</v>
      </c>
      <c r="E211" s="215">
        <f t="shared" si="154"/>
        <v>0</v>
      </c>
      <c r="F211" s="215">
        <f t="shared" si="154"/>
        <v>0</v>
      </c>
      <c r="G211" s="215">
        <f t="shared" si="154"/>
        <v>0</v>
      </c>
      <c r="H211" s="215">
        <f>H207-H203</f>
        <v>0</v>
      </c>
      <c r="I211" s="215">
        <f t="shared" si="154"/>
        <v>0</v>
      </c>
      <c r="J211" s="224"/>
      <c r="K211" s="491">
        <f t="shared" ref="K211" si="155">SUM(C211:I211)</f>
        <v>0</v>
      </c>
      <c r="L211" s="2"/>
    </row>
    <row r="212" spans="2:12" s="1" customFormat="1" ht="13.15" customHeight="1" x14ac:dyDescent="0.25">
      <c r="B212" s="294" t="s">
        <v>181</v>
      </c>
      <c r="C212" s="295">
        <f t="shared" ref="C212:I215" si="156">C41</f>
        <v>700</v>
      </c>
      <c r="D212" s="295">
        <f t="shared" si="156"/>
        <v>700</v>
      </c>
      <c r="E212" s="295">
        <f t="shared" si="156"/>
        <v>700</v>
      </c>
      <c r="F212" s="295">
        <f t="shared" si="156"/>
        <v>500</v>
      </c>
      <c r="G212" s="295">
        <f t="shared" si="156"/>
        <v>0</v>
      </c>
      <c r="H212" s="295">
        <f t="shared" si="156"/>
        <v>0</v>
      </c>
      <c r="I212" s="295">
        <f t="shared" si="156"/>
        <v>0</v>
      </c>
      <c r="J212" s="296"/>
      <c r="K212" s="363">
        <f t="shared" ref="K212:K217" si="157">SUM(C212:I212)</f>
        <v>2600</v>
      </c>
      <c r="L212" s="2"/>
    </row>
    <row r="213" spans="2:12" s="1" customFormat="1" ht="13.15" customHeight="1" x14ac:dyDescent="0.25">
      <c r="B213" s="216"/>
      <c r="C213" s="51">
        <f t="shared" si="156"/>
        <v>0</v>
      </c>
      <c r="D213" s="51">
        <f t="shared" si="156"/>
        <v>0</v>
      </c>
      <c r="E213" s="51">
        <f t="shared" si="156"/>
        <v>0</v>
      </c>
      <c r="F213" s="51">
        <f t="shared" si="156"/>
        <v>0</v>
      </c>
      <c r="G213" s="51">
        <f t="shared" si="156"/>
        <v>0</v>
      </c>
      <c r="H213" s="51">
        <f t="shared" si="156"/>
        <v>0</v>
      </c>
      <c r="I213" s="51">
        <f t="shared" si="156"/>
        <v>0</v>
      </c>
      <c r="J213" s="83"/>
      <c r="K213" s="364">
        <f t="shared" si="157"/>
        <v>0</v>
      </c>
      <c r="L213" s="2"/>
    </row>
    <row r="214" spans="2:12" s="1" customFormat="1" ht="13.15" customHeight="1" x14ac:dyDescent="0.25">
      <c r="B214" s="216" t="s">
        <v>182</v>
      </c>
      <c r="C214" s="51">
        <f t="shared" si="156"/>
        <v>0</v>
      </c>
      <c r="D214" s="51">
        <f t="shared" si="156"/>
        <v>0</v>
      </c>
      <c r="E214" s="51">
        <f t="shared" si="156"/>
        <v>0</v>
      </c>
      <c r="F214" s="51">
        <f t="shared" si="156"/>
        <v>0</v>
      </c>
      <c r="G214" s="51">
        <f t="shared" si="156"/>
        <v>0</v>
      </c>
      <c r="H214" s="51">
        <f t="shared" si="156"/>
        <v>0</v>
      </c>
      <c r="I214" s="51">
        <f t="shared" si="156"/>
        <v>0</v>
      </c>
      <c r="J214" s="83"/>
      <c r="K214" s="364">
        <f t="shared" si="157"/>
        <v>0</v>
      </c>
      <c r="L214" s="2"/>
    </row>
    <row r="215" spans="2:12" s="1" customFormat="1" ht="13.15" customHeight="1" x14ac:dyDescent="0.25">
      <c r="B215" s="216"/>
      <c r="C215" s="51">
        <f t="shared" si="156"/>
        <v>0</v>
      </c>
      <c r="D215" s="51">
        <f t="shared" si="156"/>
        <v>0</v>
      </c>
      <c r="E215" s="51">
        <f t="shared" si="156"/>
        <v>0</v>
      </c>
      <c r="F215" s="51">
        <f t="shared" si="156"/>
        <v>0</v>
      </c>
      <c r="G215" s="51">
        <f t="shared" si="156"/>
        <v>0</v>
      </c>
      <c r="H215" s="51">
        <f t="shared" si="156"/>
        <v>0</v>
      </c>
      <c r="I215" s="51">
        <f t="shared" si="156"/>
        <v>0</v>
      </c>
      <c r="J215" s="83"/>
      <c r="K215" s="364">
        <f t="shared" ref="K215" si="158">SUM(C215:I215)</f>
        <v>0</v>
      </c>
      <c r="L215" s="2"/>
    </row>
    <row r="216" spans="2:12" s="1" customFormat="1" ht="13.15" customHeight="1" x14ac:dyDescent="0.25">
      <c r="B216" s="217" t="s">
        <v>183</v>
      </c>
      <c r="C216" s="139">
        <v>866</v>
      </c>
      <c r="D216" s="157">
        <v>701</v>
      </c>
      <c r="E216" s="157">
        <v>21</v>
      </c>
      <c r="F216" s="157">
        <v>0</v>
      </c>
      <c r="G216" s="157">
        <v>0</v>
      </c>
      <c r="H216" s="157">
        <v>0</v>
      </c>
      <c r="I216" s="140">
        <v>0</v>
      </c>
      <c r="J216" s="218"/>
      <c r="K216" s="365">
        <f t="shared" si="157"/>
        <v>1588</v>
      </c>
      <c r="L216" s="2"/>
    </row>
    <row r="217" spans="2:12" s="1" customFormat="1" ht="13.15" customHeight="1" x14ac:dyDescent="0.25">
      <c r="B217" s="217"/>
      <c r="C217" s="139">
        <v>0</v>
      </c>
      <c r="D217" s="157">
        <v>0</v>
      </c>
      <c r="E217" s="157">
        <v>0</v>
      </c>
      <c r="F217" s="157">
        <v>0</v>
      </c>
      <c r="G217" s="157">
        <v>0</v>
      </c>
      <c r="H217" s="157">
        <v>0</v>
      </c>
      <c r="I217" s="140">
        <v>0</v>
      </c>
      <c r="J217" s="218"/>
      <c r="K217" s="365">
        <f t="shared" si="157"/>
        <v>0</v>
      </c>
      <c r="L217" s="2"/>
    </row>
    <row r="218" spans="2:12" s="1" customFormat="1" ht="13.15" customHeight="1" x14ac:dyDescent="0.25">
      <c r="B218" s="217" t="s">
        <v>184</v>
      </c>
      <c r="C218" s="139">
        <v>0</v>
      </c>
      <c r="D218" s="157">
        <v>0</v>
      </c>
      <c r="E218" s="157">
        <v>0</v>
      </c>
      <c r="F218" s="157">
        <v>0</v>
      </c>
      <c r="G218" s="157">
        <v>0</v>
      </c>
      <c r="H218" s="157">
        <v>0</v>
      </c>
      <c r="I218" s="140">
        <v>0</v>
      </c>
      <c r="J218" s="218"/>
      <c r="K218" s="365">
        <f t="shared" ref="K218" si="159">SUM(C218:I218)</f>
        <v>0</v>
      </c>
      <c r="L218" s="2"/>
    </row>
    <row r="219" spans="2:12" s="1" customFormat="1" ht="13.15" customHeight="1" thickBot="1" x14ac:dyDescent="0.3">
      <c r="B219" s="638"/>
      <c r="C219" s="139">
        <v>0</v>
      </c>
      <c r="D219" s="157">
        <v>0</v>
      </c>
      <c r="E219" s="157">
        <v>0</v>
      </c>
      <c r="F219" s="157">
        <v>0</v>
      </c>
      <c r="G219" s="157">
        <v>0</v>
      </c>
      <c r="H219" s="157">
        <v>0</v>
      </c>
      <c r="I219" s="140">
        <v>0</v>
      </c>
      <c r="J219" s="218"/>
      <c r="K219" s="639">
        <f t="shared" ref="K219" si="160">SUM(C219:I219)</f>
        <v>0</v>
      </c>
      <c r="L219" s="2"/>
    </row>
    <row r="220" spans="2:12" s="1" customFormat="1" ht="13.15" customHeight="1" thickBot="1" x14ac:dyDescent="0.3">
      <c r="B220" s="640" t="s">
        <v>23</v>
      </c>
      <c r="C220" s="641">
        <f>C216+C217+C218+C219</f>
        <v>866</v>
      </c>
      <c r="D220" s="641">
        <f t="shared" ref="D220:I220" si="161">D216+D217+D218+D219</f>
        <v>701</v>
      </c>
      <c r="E220" s="641">
        <f t="shared" si="161"/>
        <v>21</v>
      </c>
      <c r="F220" s="641">
        <f t="shared" si="161"/>
        <v>0</v>
      </c>
      <c r="G220" s="641">
        <f t="shared" si="161"/>
        <v>0</v>
      </c>
      <c r="H220" s="641">
        <f t="shared" si="161"/>
        <v>0</v>
      </c>
      <c r="I220" s="641">
        <f t="shared" si="161"/>
        <v>0</v>
      </c>
      <c r="J220" s="642"/>
      <c r="K220" s="643">
        <f t="shared" ref="K220:K223" si="162">SUM(C220:I220)</f>
        <v>1588</v>
      </c>
      <c r="L220" s="2"/>
    </row>
    <row r="221" spans="2:12" s="1" customFormat="1" ht="13.15" customHeight="1" x14ac:dyDescent="0.25">
      <c r="B221" s="216" t="s">
        <v>151</v>
      </c>
      <c r="C221" s="151">
        <f t="shared" ref="C221:I224" si="163">C216-C212</f>
        <v>166</v>
      </c>
      <c r="D221" s="151">
        <f t="shared" si="163"/>
        <v>1</v>
      </c>
      <c r="E221" s="151">
        <f t="shared" si="163"/>
        <v>-679</v>
      </c>
      <c r="F221" s="151">
        <f t="shared" si="163"/>
        <v>-500</v>
      </c>
      <c r="G221" s="151">
        <f t="shared" si="163"/>
        <v>0</v>
      </c>
      <c r="H221" s="151">
        <f t="shared" si="163"/>
        <v>0</v>
      </c>
      <c r="I221" s="151">
        <f t="shared" si="163"/>
        <v>0</v>
      </c>
      <c r="J221" s="219"/>
      <c r="K221" s="364">
        <f t="shared" si="162"/>
        <v>-1012</v>
      </c>
      <c r="L221" s="2"/>
    </row>
    <row r="222" spans="2:12" s="1" customFormat="1" ht="13.15" customHeight="1" x14ac:dyDescent="0.25">
      <c r="B222" s="217"/>
      <c r="C222" s="151">
        <f t="shared" si="163"/>
        <v>0</v>
      </c>
      <c r="D222" s="151">
        <f t="shared" si="163"/>
        <v>0</v>
      </c>
      <c r="E222" s="151">
        <f t="shared" si="163"/>
        <v>0</v>
      </c>
      <c r="F222" s="151">
        <f t="shared" si="163"/>
        <v>0</v>
      </c>
      <c r="G222" s="151">
        <f t="shared" si="163"/>
        <v>0</v>
      </c>
      <c r="H222" s="151">
        <f t="shared" si="163"/>
        <v>0</v>
      </c>
      <c r="I222" s="151">
        <f t="shared" si="163"/>
        <v>0</v>
      </c>
      <c r="J222" s="219"/>
      <c r="K222" s="365">
        <f t="shared" ref="K222" si="164">SUM(C222:I222)</f>
        <v>0</v>
      </c>
      <c r="L222" s="2"/>
    </row>
    <row r="223" spans="2:12" s="1" customFormat="1" ht="13.15" customHeight="1" x14ac:dyDescent="0.25">
      <c r="B223" s="494" t="s">
        <v>152</v>
      </c>
      <c r="C223" s="51">
        <f t="shared" si="163"/>
        <v>0</v>
      </c>
      <c r="D223" s="51">
        <f t="shared" si="163"/>
        <v>0</v>
      </c>
      <c r="E223" s="51">
        <f t="shared" si="163"/>
        <v>0</v>
      </c>
      <c r="F223" s="51">
        <f t="shared" si="163"/>
        <v>0</v>
      </c>
      <c r="G223" s="51">
        <f t="shared" si="163"/>
        <v>0</v>
      </c>
      <c r="H223" s="51">
        <f t="shared" si="163"/>
        <v>0</v>
      </c>
      <c r="I223" s="51">
        <f t="shared" si="163"/>
        <v>0</v>
      </c>
      <c r="J223" s="473"/>
      <c r="K223" s="496">
        <f t="shared" si="162"/>
        <v>0</v>
      </c>
      <c r="L223" s="2"/>
    </row>
    <row r="224" spans="2:12" s="1" customFormat="1" ht="13.15" customHeight="1" thickBot="1" x14ac:dyDescent="0.3">
      <c r="B224" s="493"/>
      <c r="C224" s="297">
        <f t="shared" si="163"/>
        <v>0</v>
      </c>
      <c r="D224" s="297">
        <f t="shared" si="163"/>
        <v>0</v>
      </c>
      <c r="E224" s="297">
        <f t="shared" si="163"/>
        <v>0</v>
      </c>
      <c r="F224" s="297">
        <f t="shared" si="163"/>
        <v>0</v>
      </c>
      <c r="G224" s="297">
        <f t="shared" si="163"/>
        <v>0</v>
      </c>
      <c r="H224" s="297">
        <f t="shared" si="163"/>
        <v>0</v>
      </c>
      <c r="I224" s="297">
        <f t="shared" si="163"/>
        <v>0</v>
      </c>
      <c r="J224" s="362"/>
      <c r="K224" s="495">
        <f t="shared" ref="K224" si="165">SUM(C224:I224)</f>
        <v>0</v>
      </c>
      <c r="L224" s="2"/>
    </row>
    <row r="225" spans="2:12" s="1" customFormat="1" ht="13.15" customHeight="1" x14ac:dyDescent="0.25">
      <c r="B225" s="366" t="s">
        <v>185</v>
      </c>
      <c r="C225" s="295">
        <f t="shared" ref="C225:I228" si="166">C45</f>
        <v>0</v>
      </c>
      <c r="D225" s="295">
        <f t="shared" si="166"/>
        <v>0</v>
      </c>
      <c r="E225" s="295">
        <f t="shared" si="166"/>
        <v>0</v>
      </c>
      <c r="F225" s="295">
        <f t="shared" si="166"/>
        <v>0</v>
      </c>
      <c r="G225" s="295">
        <f t="shared" si="166"/>
        <v>0</v>
      </c>
      <c r="H225" s="295">
        <f t="shared" si="166"/>
        <v>0</v>
      </c>
      <c r="I225" s="295">
        <f t="shared" si="166"/>
        <v>0</v>
      </c>
      <c r="J225" s="367"/>
      <c r="K225" s="370">
        <f t="shared" ref="K225:K230" si="167">SUM(C225:I225)</f>
        <v>0</v>
      </c>
      <c r="L225" s="2"/>
    </row>
    <row r="226" spans="2:12" s="1" customFormat="1" ht="13.15" customHeight="1" x14ac:dyDescent="0.25">
      <c r="B226" s="220"/>
      <c r="C226" s="51">
        <f t="shared" si="166"/>
        <v>0</v>
      </c>
      <c r="D226" s="51">
        <f t="shared" si="166"/>
        <v>0</v>
      </c>
      <c r="E226" s="51">
        <f t="shared" si="166"/>
        <v>0</v>
      </c>
      <c r="F226" s="51">
        <f t="shared" si="166"/>
        <v>0</v>
      </c>
      <c r="G226" s="51">
        <f t="shared" si="166"/>
        <v>0</v>
      </c>
      <c r="H226" s="51">
        <f t="shared" si="166"/>
        <v>0</v>
      </c>
      <c r="I226" s="51">
        <f t="shared" si="166"/>
        <v>0</v>
      </c>
      <c r="J226" s="343"/>
      <c r="K226" s="371">
        <f t="shared" si="167"/>
        <v>0</v>
      </c>
      <c r="L226" s="2"/>
    </row>
    <row r="227" spans="2:12" s="1" customFormat="1" ht="13.15" customHeight="1" x14ac:dyDescent="0.25">
      <c r="B227" s="220" t="s">
        <v>186</v>
      </c>
      <c r="C227" s="152">
        <f t="shared" si="166"/>
        <v>0</v>
      </c>
      <c r="D227" s="152">
        <f t="shared" si="166"/>
        <v>0</v>
      </c>
      <c r="E227" s="152">
        <f t="shared" si="166"/>
        <v>0</v>
      </c>
      <c r="F227" s="152">
        <f t="shared" si="166"/>
        <v>0</v>
      </c>
      <c r="G227" s="152">
        <f t="shared" si="166"/>
        <v>0</v>
      </c>
      <c r="H227" s="152">
        <f t="shared" si="166"/>
        <v>0</v>
      </c>
      <c r="I227" s="152">
        <f t="shared" si="166"/>
        <v>0</v>
      </c>
      <c r="J227" s="343"/>
      <c r="K227" s="371">
        <f t="shared" si="167"/>
        <v>0</v>
      </c>
      <c r="L227" s="2"/>
    </row>
    <row r="228" spans="2:12" s="1" customFormat="1" ht="13.15" customHeight="1" x14ac:dyDescent="0.25">
      <c r="B228" s="220"/>
      <c r="C228" s="152">
        <f t="shared" si="166"/>
        <v>0</v>
      </c>
      <c r="D228" s="152">
        <f t="shared" si="166"/>
        <v>0</v>
      </c>
      <c r="E228" s="152">
        <f t="shared" si="166"/>
        <v>0</v>
      </c>
      <c r="F228" s="152">
        <f t="shared" si="166"/>
        <v>0</v>
      </c>
      <c r="G228" s="152">
        <f t="shared" si="166"/>
        <v>0</v>
      </c>
      <c r="H228" s="152">
        <f t="shared" si="166"/>
        <v>0</v>
      </c>
      <c r="I228" s="152">
        <f t="shared" si="166"/>
        <v>0</v>
      </c>
      <c r="J228" s="343"/>
      <c r="K228" s="371">
        <f t="shared" ref="K228" si="168">SUM(C228:I228)</f>
        <v>0</v>
      </c>
      <c r="L228" s="2"/>
    </row>
    <row r="229" spans="2:12" s="1" customFormat="1" ht="13.15" customHeight="1" x14ac:dyDescent="0.25">
      <c r="B229" s="220" t="s">
        <v>187</v>
      </c>
      <c r="C229" s="26">
        <v>0</v>
      </c>
      <c r="D229" s="158">
        <v>0</v>
      </c>
      <c r="E229" s="158">
        <v>0</v>
      </c>
      <c r="F229" s="158">
        <v>0</v>
      </c>
      <c r="G229" s="158">
        <v>0</v>
      </c>
      <c r="H229" s="158">
        <v>0</v>
      </c>
      <c r="I229" s="26">
        <v>0</v>
      </c>
      <c r="J229" s="368"/>
      <c r="K229" s="372">
        <f t="shared" si="167"/>
        <v>0</v>
      </c>
      <c r="L229" s="2"/>
    </row>
    <row r="230" spans="2:12" s="1" customFormat="1" ht="13.15" customHeight="1" x14ac:dyDescent="0.25">
      <c r="B230" s="220"/>
      <c r="C230" s="26">
        <v>0</v>
      </c>
      <c r="D230" s="158">
        <v>0</v>
      </c>
      <c r="E230" s="158">
        <v>0</v>
      </c>
      <c r="F230" s="158">
        <v>0</v>
      </c>
      <c r="G230" s="158">
        <v>0</v>
      </c>
      <c r="H230" s="158">
        <v>0</v>
      </c>
      <c r="I230" s="26">
        <v>0</v>
      </c>
      <c r="J230" s="368"/>
      <c r="K230" s="372">
        <f t="shared" si="167"/>
        <v>0</v>
      </c>
      <c r="L230" s="2"/>
    </row>
    <row r="231" spans="2:12" s="1" customFormat="1" ht="13.15" customHeight="1" x14ac:dyDescent="0.25">
      <c r="B231" s="221" t="s">
        <v>188</v>
      </c>
      <c r="C231" s="26">
        <v>0</v>
      </c>
      <c r="D231" s="158">
        <v>0</v>
      </c>
      <c r="E231" s="158">
        <v>0</v>
      </c>
      <c r="F231" s="158">
        <v>0</v>
      </c>
      <c r="G231" s="158">
        <v>0</v>
      </c>
      <c r="H231" s="158">
        <v>0</v>
      </c>
      <c r="I231" s="26">
        <v>0</v>
      </c>
      <c r="J231" s="368"/>
      <c r="K231" s="372">
        <f t="shared" ref="K231" si="169">SUM(C231:I231)</f>
        <v>0</v>
      </c>
      <c r="L231" s="2"/>
    </row>
    <row r="232" spans="2:12" s="1" customFormat="1" ht="13.15" customHeight="1" thickBot="1" x14ac:dyDescent="0.3">
      <c r="B232" s="221"/>
      <c r="C232" s="26">
        <v>0</v>
      </c>
      <c r="D232" s="158">
        <v>0</v>
      </c>
      <c r="E232" s="158">
        <v>0</v>
      </c>
      <c r="F232" s="158">
        <v>0</v>
      </c>
      <c r="G232" s="158">
        <v>0</v>
      </c>
      <c r="H232" s="158">
        <v>0</v>
      </c>
      <c r="I232" s="26">
        <v>0</v>
      </c>
      <c r="J232" s="368"/>
      <c r="K232" s="644">
        <f t="shared" ref="K232" si="170">SUM(C232:I232)</f>
        <v>0</v>
      </c>
      <c r="L232" s="2"/>
    </row>
    <row r="233" spans="2:12" s="1" customFormat="1" ht="13.15" customHeight="1" thickBot="1" x14ac:dyDescent="0.3">
      <c r="B233" s="647" t="s">
        <v>24</v>
      </c>
      <c r="C233" s="648">
        <f>C229+C230+C231+C232</f>
        <v>0</v>
      </c>
      <c r="D233" s="648">
        <f t="shared" ref="D233:I233" si="171">D229+D230+D231+D232</f>
        <v>0</v>
      </c>
      <c r="E233" s="648">
        <f t="shared" si="171"/>
        <v>0</v>
      </c>
      <c r="F233" s="648">
        <f t="shared" si="171"/>
        <v>0</v>
      </c>
      <c r="G233" s="648">
        <f t="shared" si="171"/>
        <v>0</v>
      </c>
      <c r="H233" s="648">
        <f t="shared" si="171"/>
        <v>0</v>
      </c>
      <c r="I233" s="648">
        <f t="shared" si="171"/>
        <v>0</v>
      </c>
      <c r="J233" s="649"/>
      <c r="K233" s="650">
        <f t="shared" ref="K233:K236" si="172">SUM(C233:I233)</f>
        <v>0</v>
      </c>
      <c r="L233" s="2"/>
    </row>
    <row r="234" spans="2:12" s="1" customFormat="1" ht="13.15" customHeight="1" x14ac:dyDescent="0.25">
      <c r="B234" s="645" t="s">
        <v>151</v>
      </c>
      <c r="C234" s="152">
        <f t="shared" ref="C234:I237" si="173">C229-C225</f>
        <v>0</v>
      </c>
      <c r="D234" s="152">
        <f t="shared" si="173"/>
        <v>0</v>
      </c>
      <c r="E234" s="152">
        <f t="shared" si="173"/>
        <v>0</v>
      </c>
      <c r="F234" s="152">
        <f t="shared" si="173"/>
        <v>0</v>
      </c>
      <c r="G234" s="152">
        <f t="shared" si="173"/>
        <v>0</v>
      </c>
      <c r="H234" s="152">
        <f t="shared" si="173"/>
        <v>0</v>
      </c>
      <c r="I234" s="152">
        <f t="shared" si="173"/>
        <v>0</v>
      </c>
      <c r="J234" s="369"/>
      <c r="K234" s="646">
        <f t="shared" si="172"/>
        <v>0</v>
      </c>
      <c r="L234" s="2"/>
    </row>
    <row r="235" spans="2:12" s="1" customFormat="1" ht="13.15" customHeight="1" x14ac:dyDescent="0.25">
      <c r="B235" s="221"/>
      <c r="C235" s="152">
        <f t="shared" si="173"/>
        <v>0</v>
      </c>
      <c r="D235" s="152">
        <f t="shared" si="173"/>
        <v>0</v>
      </c>
      <c r="E235" s="152">
        <f t="shared" si="173"/>
        <v>0</v>
      </c>
      <c r="F235" s="152">
        <f t="shared" si="173"/>
        <v>0</v>
      </c>
      <c r="G235" s="152">
        <f t="shared" si="173"/>
        <v>0</v>
      </c>
      <c r="H235" s="152">
        <f t="shared" si="173"/>
        <v>0</v>
      </c>
      <c r="I235" s="152">
        <f t="shared" si="173"/>
        <v>0</v>
      </c>
      <c r="J235" s="369"/>
      <c r="K235" s="372">
        <f t="shared" si="172"/>
        <v>0</v>
      </c>
      <c r="L235" s="2"/>
    </row>
    <row r="236" spans="2:12" s="1" customFormat="1" ht="13.15" customHeight="1" x14ac:dyDescent="0.25">
      <c r="B236" s="498" t="s">
        <v>152</v>
      </c>
      <c r="C236" s="51">
        <f t="shared" si="173"/>
        <v>0</v>
      </c>
      <c r="D236" s="51">
        <f t="shared" si="173"/>
        <v>0</v>
      </c>
      <c r="E236" s="51">
        <f t="shared" si="173"/>
        <v>0</v>
      </c>
      <c r="F236" s="51">
        <f t="shared" si="173"/>
        <v>0</v>
      </c>
      <c r="G236" s="51">
        <f t="shared" si="173"/>
        <v>0</v>
      </c>
      <c r="H236" s="51">
        <f t="shared" si="173"/>
        <v>0</v>
      </c>
      <c r="I236" s="51">
        <f t="shared" si="173"/>
        <v>0</v>
      </c>
      <c r="J236" s="380"/>
      <c r="K236" s="500">
        <f t="shared" si="172"/>
        <v>0</v>
      </c>
      <c r="L236" s="2"/>
    </row>
    <row r="237" spans="2:12" s="1" customFormat="1" ht="13.15" customHeight="1" thickBot="1" x14ac:dyDescent="0.3">
      <c r="B237" s="497"/>
      <c r="C237" s="297">
        <f t="shared" si="173"/>
        <v>0</v>
      </c>
      <c r="D237" s="297">
        <f t="shared" si="173"/>
        <v>0</v>
      </c>
      <c r="E237" s="297">
        <f t="shared" si="173"/>
        <v>0</v>
      </c>
      <c r="F237" s="297">
        <f t="shared" si="173"/>
        <v>0</v>
      </c>
      <c r="G237" s="297">
        <f t="shared" si="173"/>
        <v>0</v>
      </c>
      <c r="H237" s="297">
        <f t="shared" si="173"/>
        <v>0</v>
      </c>
      <c r="I237" s="297">
        <f t="shared" si="173"/>
        <v>0</v>
      </c>
      <c r="J237" s="344"/>
      <c r="K237" s="499">
        <f t="shared" ref="K237" si="174">SUM(C237:I237)</f>
        <v>0</v>
      </c>
      <c r="L237" s="2"/>
    </row>
    <row r="238" spans="2:12" s="1" customFormat="1" ht="12" customHeight="1" x14ac:dyDescent="0.25">
      <c r="B238" s="338" t="s">
        <v>189</v>
      </c>
      <c r="C238" s="295">
        <f t="shared" ref="C238:I241" si="175">C49</f>
        <v>0</v>
      </c>
      <c r="D238" s="295">
        <f t="shared" si="175"/>
        <v>0</v>
      </c>
      <c r="E238" s="295">
        <f t="shared" si="175"/>
        <v>0</v>
      </c>
      <c r="F238" s="295">
        <f t="shared" si="175"/>
        <v>0</v>
      </c>
      <c r="G238" s="295">
        <f t="shared" si="175"/>
        <v>0</v>
      </c>
      <c r="H238" s="295">
        <f t="shared" si="175"/>
        <v>0</v>
      </c>
      <c r="I238" s="295">
        <f t="shared" si="175"/>
        <v>0</v>
      </c>
      <c r="J238" s="367"/>
      <c r="K238" s="345">
        <f t="shared" ref="K238:K243" si="176">SUM(C238:I238)</f>
        <v>0</v>
      </c>
      <c r="L238" s="2"/>
    </row>
    <row r="239" spans="2:12" s="1" customFormat="1" ht="12" customHeight="1" x14ac:dyDescent="0.25">
      <c r="B239" s="211"/>
      <c r="C239" s="51">
        <f t="shared" si="175"/>
        <v>0</v>
      </c>
      <c r="D239" s="51">
        <f t="shared" si="175"/>
        <v>0</v>
      </c>
      <c r="E239" s="51">
        <f t="shared" si="175"/>
        <v>0</v>
      </c>
      <c r="F239" s="51">
        <f t="shared" si="175"/>
        <v>0</v>
      </c>
      <c r="G239" s="51">
        <f t="shared" si="175"/>
        <v>0</v>
      </c>
      <c r="H239" s="51">
        <f t="shared" si="175"/>
        <v>0</v>
      </c>
      <c r="I239" s="51">
        <f t="shared" si="175"/>
        <v>0</v>
      </c>
      <c r="J239" s="343"/>
      <c r="K239" s="346">
        <f t="shared" si="176"/>
        <v>0</v>
      </c>
      <c r="L239" s="2"/>
    </row>
    <row r="240" spans="2:12" s="1" customFormat="1" ht="13.15" customHeight="1" x14ac:dyDescent="0.25">
      <c r="B240" s="211" t="s">
        <v>190</v>
      </c>
      <c r="C240" s="153">
        <f t="shared" si="175"/>
        <v>0</v>
      </c>
      <c r="D240" s="153">
        <f t="shared" si="175"/>
        <v>0</v>
      </c>
      <c r="E240" s="153">
        <f t="shared" si="175"/>
        <v>0</v>
      </c>
      <c r="F240" s="153">
        <f t="shared" si="175"/>
        <v>0</v>
      </c>
      <c r="G240" s="153">
        <f t="shared" si="175"/>
        <v>0</v>
      </c>
      <c r="H240" s="153">
        <f t="shared" si="175"/>
        <v>0</v>
      </c>
      <c r="I240" s="153">
        <f t="shared" si="175"/>
        <v>0</v>
      </c>
      <c r="J240" s="343"/>
      <c r="K240" s="346">
        <f t="shared" si="176"/>
        <v>0</v>
      </c>
      <c r="L240" s="2"/>
    </row>
    <row r="241" spans="2:12" s="1" customFormat="1" ht="13.15" customHeight="1" x14ac:dyDescent="0.25">
      <c r="B241" s="211"/>
      <c r="C241" s="153">
        <f t="shared" si="175"/>
        <v>0</v>
      </c>
      <c r="D241" s="153">
        <f t="shared" si="175"/>
        <v>0</v>
      </c>
      <c r="E241" s="153">
        <f t="shared" si="175"/>
        <v>0</v>
      </c>
      <c r="F241" s="153">
        <f t="shared" si="175"/>
        <v>0</v>
      </c>
      <c r="G241" s="153">
        <f t="shared" si="175"/>
        <v>0</v>
      </c>
      <c r="H241" s="153">
        <f t="shared" si="175"/>
        <v>0</v>
      </c>
      <c r="I241" s="153">
        <f t="shared" si="175"/>
        <v>0</v>
      </c>
      <c r="J241" s="343"/>
      <c r="K241" s="346">
        <f t="shared" ref="K241" si="177">SUM(C241:I241)</f>
        <v>0</v>
      </c>
      <c r="L241" s="2"/>
    </row>
    <row r="242" spans="2:12" s="1" customFormat="1" ht="13.15" customHeight="1" x14ac:dyDescent="0.25">
      <c r="B242" s="211" t="s">
        <v>191</v>
      </c>
      <c r="C242" s="27">
        <v>0</v>
      </c>
      <c r="D242" s="155">
        <v>11</v>
      </c>
      <c r="E242" s="155">
        <v>0</v>
      </c>
      <c r="F242" s="155">
        <v>0</v>
      </c>
      <c r="G242" s="155">
        <v>0</v>
      </c>
      <c r="H242" s="155">
        <v>0</v>
      </c>
      <c r="I242" s="27">
        <v>0</v>
      </c>
      <c r="J242" s="342"/>
      <c r="K242" s="346">
        <f t="shared" si="176"/>
        <v>11</v>
      </c>
      <c r="L242" s="2"/>
    </row>
    <row r="243" spans="2:12" s="1" customFormat="1" ht="13.15" customHeight="1" x14ac:dyDescent="0.25">
      <c r="B243" s="211"/>
      <c r="C243" s="27">
        <v>0</v>
      </c>
      <c r="D243" s="155">
        <v>0</v>
      </c>
      <c r="E243" s="155">
        <v>0</v>
      </c>
      <c r="F243" s="155">
        <v>0</v>
      </c>
      <c r="G243" s="155">
        <v>0</v>
      </c>
      <c r="H243" s="155">
        <v>0</v>
      </c>
      <c r="I243" s="27">
        <v>0</v>
      </c>
      <c r="J243" s="342"/>
      <c r="K243" s="346">
        <f t="shared" si="176"/>
        <v>0</v>
      </c>
      <c r="L243" s="2"/>
    </row>
    <row r="244" spans="2:12" s="1" customFormat="1" ht="13.15" customHeight="1" x14ac:dyDescent="0.25">
      <c r="B244" s="211" t="s">
        <v>192</v>
      </c>
      <c r="C244" s="27">
        <v>0</v>
      </c>
      <c r="D244" s="155">
        <v>0</v>
      </c>
      <c r="E244" s="155">
        <v>0</v>
      </c>
      <c r="F244" s="155">
        <v>0</v>
      </c>
      <c r="G244" s="155">
        <v>0</v>
      </c>
      <c r="H244" s="155">
        <v>0</v>
      </c>
      <c r="I244" s="27">
        <v>0</v>
      </c>
      <c r="J244" s="342"/>
      <c r="K244" s="346">
        <f t="shared" ref="K244" si="178">SUM(C244:I244)</f>
        <v>0</v>
      </c>
      <c r="L244" s="2"/>
    </row>
    <row r="245" spans="2:12" s="1" customFormat="1" ht="13.15" customHeight="1" thickBot="1" x14ac:dyDescent="0.3">
      <c r="B245" s="212"/>
      <c r="C245" s="27">
        <v>0</v>
      </c>
      <c r="D245" s="155">
        <v>0</v>
      </c>
      <c r="E245" s="155">
        <v>0</v>
      </c>
      <c r="F245" s="155">
        <v>0</v>
      </c>
      <c r="G245" s="155">
        <v>0</v>
      </c>
      <c r="H245" s="155">
        <v>0</v>
      </c>
      <c r="I245" s="27">
        <v>0</v>
      </c>
      <c r="J245" s="342"/>
      <c r="K245" s="347">
        <f t="shared" ref="K245" si="179">SUM(C245:I245)</f>
        <v>0</v>
      </c>
      <c r="L245" s="2"/>
    </row>
    <row r="246" spans="2:12" s="1" customFormat="1" ht="13.15" customHeight="1" thickBot="1" x14ac:dyDescent="0.3">
      <c r="B246" s="597" t="s">
        <v>25</v>
      </c>
      <c r="C246" s="651">
        <f>C242+C243+C244+C245</f>
        <v>0</v>
      </c>
      <c r="D246" s="651">
        <f t="shared" ref="D246:I246" si="180">D242+D243+D244+D245</f>
        <v>11</v>
      </c>
      <c r="E246" s="651">
        <f t="shared" si="180"/>
        <v>0</v>
      </c>
      <c r="F246" s="651">
        <f t="shared" si="180"/>
        <v>0</v>
      </c>
      <c r="G246" s="651">
        <f t="shared" si="180"/>
        <v>0</v>
      </c>
      <c r="H246" s="651">
        <f t="shared" si="180"/>
        <v>0</v>
      </c>
      <c r="I246" s="651">
        <f t="shared" si="180"/>
        <v>0</v>
      </c>
      <c r="J246" s="652"/>
      <c r="K246" s="600">
        <f t="shared" ref="K246:K247" si="181">SUM(C246:I246)</f>
        <v>11</v>
      </c>
      <c r="L246" s="2"/>
    </row>
    <row r="247" spans="2:12" s="1" customFormat="1" ht="13.15" customHeight="1" x14ac:dyDescent="0.25">
      <c r="B247" s="595" t="s">
        <v>151</v>
      </c>
      <c r="C247" s="153">
        <f t="shared" ref="C247:I250" si="182">C242-C238</f>
        <v>0</v>
      </c>
      <c r="D247" s="153">
        <f t="shared" si="182"/>
        <v>11</v>
      </c>
      <c r="E247" s="153">
        <f t="shared" si="182"/>
        <v>0</v>
      </c>
      <c r="F247" s="153">
        <f t="shared" si="182"/>
        <v>0</v>
      </c>
      <c r="G247" s="153">
        <f t="shared" si="182"/>
        <v>0</v>
      </c>
      <c r="H247" s="153">
        <f t="shared" si="182"/>
        <v>0</v>
      </c>
      <c r="I247" s="153">
        <f t="shared" si="182"/>
        <v>0</v>
      </c>
      <c r="J247" s="373"/>
      <c r="K247" s="596">
        <f t="shared" si="181"/>
        <v>11</v>
      </c>
      <c r="L247" s="2"/>
    </row>
    <row r="248" spans="2:12" s="1" customFormat="1" ht="13.15" customHeight="1" x14ac:dyDescent="0.25">
      <c r="B248" s="212"/>
      <c r="C248" s="153">
        <f t="shared" si="182"/>
        <v>0</v>
      </c>
      <c r="D248" s="153">
        <f t="shared" si="182"/>
        <v>0</v>
      </c>
      <c r="E248" s="153">
        <f t="shared" si="182"/>
        <v>0</v>
      </c>
      <c r="F248" s="153">
        <f t="shared" si="182"/>
        <v>0</v>
      </c>
      <c r="G248" s="153">
        <f t="shared" si="182"/>
        <v>0</v>
      </c>
      <c r="H248" s="153">
        <f t="shared" si="182"/>
        <v>0</v>
      </c>
      <c r="I248" s="153">
        <f t="shared" si="182"/>
        <v>0</v>
      </c>
      <c r="J248" s="373"/>
      <c r="K248" s="346">
        <f t="shared" ref="K248" si="183">SUM(C248:I248)</f>
        <v>0</v>
      </c>
      <c r="L248" s="2"/>
    </row>
    <row r="249" spans="2:12" s="1" customFormat="1" ht="13.15" customHeight="1" x14ac:dyDescent="0.25">
      <c r="B249" s="212" t="s">
        <v>152</v>
      </c>
      <c r="C249" s="51">
        <f t="shared" si="182"/>
        <v>0</v>
      </c>
      <c r="D249" s="51">
        <f t="shared" si="182"/>
        <v>0</v>
      </c>
      <c r="E249" s="51">
        <f t="shared" si="182"/>
        <v>0</v>
      </c>
      <c r="F249" s="51">
        <f t="shared" si="182"/>
        <v>0</v>
      </c>
      <c r="G249" s="51">
        <f t="shared" si="182"/>
        <v>0</v>
      </c>
      <c r="H249" s="51">
        <f t="shared" si="182"/>
        <v>0</v>
      </c>
      <c r="I249" s="51">
        <f t="shared" si="182"/>
        <v>0</v>
      </c>
      <c r="J249" s="343"/>
      <c r="K249" s="347">
        <f t="shared" ref="K249" si="184">SUM(C249:I249)</f>
        <v>0</v>
      </c>
      <c r="L249" s="2"/>
    </row>
    <row r="250" spans="2:12" s="1" customFormat="1" ht="13.15" customHeight="1" thickBot="1" x14ac:dyDescent="0.3">
      <c r="B250" s="212"/>
      <c r="C250" s="51">
        <f t="shared" si="182"/>
        <v>0</v>
      </c>
      <c r="D250" s="51">
        <f t="shared" si="182"/>
        <v>0</v>
      </c>
      <c r="E250" s="51">
        <f t="shared" si="182"/>
        <v>0</v>
      </c>
      <c r="F250" s="51">
        <f t="shared" si="182"/>
        <v>0</v>
      </c>
      <c r="G250" s="51">
        <f t="shared" si="182"/>
        <v>0</v>
      </c>
      <c r="H250" s="51">
        <f t="shared" si="182"/>
        <v>0</v>
      </c>
      <c r="I250" s="51">
        <f t="shared" si="182"/>
        <v>0</v>
      </c>
      <c r="J250" s="343"/>
      <c r="K250" s="347">
        <f t="shared" ref="K250" si="185">SUM(C250:I250)</f>
        <v>0</v>
      </c>
      <c r="L250" s="2"/>
    </row>
    <row r="251" spans="2:12" s="1" customFormat="1" ht="13.15" customHeight="1" x14ac:dyDescent="0.25">
      <c r="B251" s="381" t="s">
        <v>193</v>
      </c>
      <c r="C251" s="382">
        <f t="shared" ref="C251:I254" si="186">C53</f>
        <v>0</v>
      </c>
      <c r="D251" s="295">
        <f t="shared" si="186"/>
        <v>0</v>
      </c>
      <c r="E251" s="295">
        <f t="shared" si="186"/>
        <v>0</v>
      </c>
      <c r="F251" s="295">
        <f t="shared" si="186"/>
        <v>0</v>
      </c>
      <c r="G251" s="295">
        <f t="shared" si="186"/>
        <v>0</v>
      </c>
      <c r="H251" s="295">
        <f t="shared" si="186"/>
        <v>700</v>
      </c>
      <c r="I251" s="295">
        <f t="shared" si="186"/>
        <v>0</v>
      </c>
      <c r="J251" s="367"/>
      <c r="K251" s="378">
        <f t="shared" ref="K251:K256" si="187">SUM(C251:I251)</f>
        <v>700</v>
      </c>
      <c r="L251" s="2"/>
    </row>
    <row r="252" spans="2:12" s="1" customFormat="1" ht="13.15" customHeight="1" x14ac:dyDescent="0.25">
      <c r="B252" s="383"/>
      <c r="C252" s="361">
        <f t="shared" si="186"/>
        <v>0</v>
      </c>
      <c r="D252" s="51">
        <f t="shared" si="186"/>
        <v>0</v>
      </c>
      <c r="E252" s="51">
        <f t="shared" si="186"/>
        <v>0</v>
      </c>
      <c r="F252" s="51">
        <f t="shared" si="186"/>
        <v>0</v>
      </c>
      <c r="G252" s="51">
        <f t="shared" si="186"/>
        <v>0</v>
      </c>
      <c r="H252" s="51">
        <f t="shared" si="186"/>
        <v>0</v>
      </c>
      <c r="I252" s="51">
        <f t="shared" si="186"/>
        <v>0</v>
      </c>
      <c r="J252" s="343"/>
      <c r="K252" s="379">
        <f t="shared" si="187"/>
        <v>0</v>
      </c>
      <c r="L252" s="2"/>
    </row>
    <row r="253" spans="2:12" s="1" customFormat="1" ht="13.15" customHeight="1" x14ac:dyDescent="0.25">
      <c r="B253" s="383" t="s">
        <v>194</v>
      </c>
      <c r="C253" s="374">
        <f t="shared" si="186"/>
        <v>0</v>
      </c>
      <c r="D253" s="55">
        <f t="shared" si="186"/>
        <v>0</v>
      </c>
      <c r="E253" s="55">
        <f t="shared" si="186"/>
        <v>0</v>
      </c>
      <c r="F253" s="55">
        <f t="shared" si="186"/>
        <v>0</v>
      </c>
      <c r="G253" s="55">
        <f t="shared" si="186"/>
        <v>0</v>
      </c>
      <c r="H253" s="55">
        <f t="shared" si="186"/>
        <v>0</v>
      </c>
      <c r="I253" s="55">
        <f t="shared" si="186"/>
        <v>0</v>
      </c>
      <c r="J253" s="343"/>
      <c r="K253" s="379">
        <f t="shared" si="187"/>
        <v>0</v>
      </c>
      <c r="L253" s="2"/>
    </row>
    <row r="254" spans="2:12" s="1" customFormat="1" ht="13.15" customHeight="1" x14ac:dyDescent="0.25">
      <c r="B254" s="383"/>
      <c r="C254" s="374">
        <f t="shared" si="186"/>
        <v>0</v>
      </c>
      <c r="D254" s="55">
        <f t="shared" si="186"/>
        <v>0</v>
      </c>
      <c r="E254" s="55">
        <f t="shared" si="186"/>
        <v>0</v>
      </c>
      <c r="F254" s="55">
        <f t="shared" si="186"/>
        <v>0</v>
      </c>
      <c r="G254" s="55">
        <f t="shared" si="186"/>
        <v>0</v>
      </c>
      <c r="H254" s="55">
        <f t="shared" si="186"/>
        <v>0</v>
      </c>
      <c r="I254" s="55">
        <f t="shared" si="186"/>
        <v>0</v>
      </c>
      <c r="J254" s="343"/>
      <c r="K254" s="379">
        <f t="shared" ref="K254" si="188">SUM(C254:I254)</f>
        <v>0</v>
      </c>
      <c r="L254" s="2"/>
    </row>
    <row r="255" spans="2:12" s="1" customFormat="1" ht="13.15" customHeight="1" x14ac:dyDescent="0.25">
      <c r="B255" s="383" t="s">
        <v>195</v>
      </c>
      <c r="C255" s="375">
        <v>0</v>
      </c>
      <c r="D255" s="159">
        <v>0</v>
      </c>
      <c r="E255" s="159">
        <v>559</v>
      </c>
      <c r="F255" s="159">
        <v>0</v>
      </c>
      <c r="G255" s="159">
        <v>215</v>
      </c>
      <c r="H255" s="159">
        <v>700</v>
      </c>
      <c r="I255" s="82">
        <v>0</v>
      </c>
      <c r="J255" s="376"/>
      <c r="K255" s="379">
        <f t="shared" si="187"/>
        <v>1474</v>
      </c>
      <c r="L255" s="2"/>
    </row>
    <row r="256" spans="2:12" s="1" customFormat="1" ht="13.15" customHeight="1" x14ac:dyDescent="0.25">
      <c r="B256" s="383"/>
      <c r="C256" s="375">
        <v>0</v>
      </c>
      <c r="D256" s="159">
        <v>0</v>
      </c>
      <c r="E256" s="159">
        <v>0</v>
      </c>
      <c r="F256" s="159">
        <v>0</v>
      </c>
      <c r="G256" s="159">
        <v>0</v>
      </c>
      <c r="H256" s="159">
        <v>0</v>
      </c>
      <c r="I256" s="82">
        <v>0</v>
      </c>
      <c r="J256" s="376"/>
      <c r="K256" s="379">
        <f t="shared" si="187"/>
        <v>0</v>
      </c>
      <c r="L256" s="2"/>
    </row>
    <row r="257" spans="2:12" s="1" customFormat="1" ht="13.15" customHeight="1" x14ac:dyDescent="0.25">
      <c r="B257" s="383" t="s">
        <v>196</v>
      </c>
      <c r="C257" s="375">
        <v>0</v>
      </c>
      <c r="D257" s="82">
        <v>0</v>
      </c>
      <c r="E257" s="82">
        <v>0</v>
      </c>
      <c r="F257" s="82">
        <v>0</v>
      </c>
      <c r="G257" s="82">
        <v>0</v>
      </c>
      <c r="H257" s="82">
        <v>0</v>
      </c>
      <c r="I257" s="82">
        <v>0</v>
      </c>
      <c r="J257" s="376"/>
      <c r="K257" s="379">
        <f t="shared" ref="K257:K260" si="189">SUM(C257:I257)</f>
        <v>0</v>
      </c>
      <c r="L257" s="2"/>
    </row>
    <row r="258" spans="2:12" s="1" customFormat="1" ht="13.15" customHeight="1" thickBot="1" x14ac:dyDescent="0.3">
      <c r="B258" s="384"/>
      <c r="C258" s="375">
        <v>0</v>
      </c>
      <c r="D258" s="82">
        <v>0</v>
      </c>
      <c r="E258" s="82">
        <v>0</v>
      </c>
      <c r="F258" s="82">
        <v>0</v>
      </c>
      <c r="G258" s="82">
        <v>0</v>
      </c>
      <c r="H258" s="82">
        <v>0</v>
      </c>
      <c r="I258" s="82">
        <v>0</v>
      </c>
      <c r="J258" s="376"/>
      <c r="K258" s="385">
        <f t="shared" ref="K258" si="190">SUM(C258:I258)</f>
        <v>0</v>
      </c>
      <c r="L258" s="2"/>
    </row>
    <row r="259" spans="2:12" s="1" customFormat="1" ht="13.15" customHeight="1" thickBot="1" x14ac:dyDescent="0.3">
      <c r="B259" s="655" t="s">
        <v>26</v>
      </c>
      <c r="C259" s="656">
        <f>C255+C256+C258+C257</f>
        <v>0</v>
      </c>
      <c r="D259" s="657">
        <f t="shared" ref="D259:I259" si="191">D255+D256+D258+D257</f>
        <v>0</v>
      </c>
      <c r="E259" s="657">
        <f t="shared" si="191"/>
        <v>559</v>
      </c>
      <c r="F259" s="657">
        <f t="shared" si="191"/>
        <v>0</v>
      </c>
      <c r="G259" s="657">
        <f t="shared" si="191"/>
        <v>215</v>
      </c>
      <c r="H259" s="657">
        <f t="shared" si="191"/>
        <v>700</v>
      </c>
      <c r="I259" s="657">
        <f t="shared" si="191"/>
        <v>0</v>
      </c>
      <c r="J259" s="658"/>
      <c r="K259" s="659">
        <f t="shared" si="189"/>
        <v>1474</v>
      </c>
      <c r="L259" s="2"/>
    </row>
    <row r="260" spans="2:12" s="1" customFormat="1" ht="13.15" customHeight="1" x14ac:dyDescent="0.25">
      <c r="B260" s="653" t="s">
        <v>151</v>
      </c>
      <c r="C260" s="374">
        <f>C255-C251</f>
        <v>0</v>
      </c>
      <c r="D260" s="55">
        <f t="shared" ref="D260:I260" si="192">D255-D251</f>
        <v>0</v>
      </c>
      <c r="E260" s="55">
        <f t="shared" si="192"/>
        <v>559</v>
      </c>
      <c r="F260" s="55">
        <f t="shared" si="192"/>
        <v>0</v>
      </c>
      <c r="G260" s="55">
        <f t="shared" si="192"/>
        <v>215</v>
      </c>
      <c r="H260" s="55">
        <f t="shared" si="192"/>
        <v>0</v>
      </c>
      <c r="I260" s="55">
        <f t="shared" si="192"/>
        <v>0</v>
      </c>
      <c r="J260" s="377"/>
      <c r="K260" s="654">
        <f t="shared" si="189"/>
        <v>774</v>
      </c>
      <c r="L260" s="2"/>
    </row>
    <row r="261" spans="2:12" s="1" customFormat="1" ht="13.15" customHeight="1" x14ac:dyDescent="0.25">
      <c r="B261" s="383"/>
      <c r="C261" s="374">
        <f t="shared" ref="C261:I263" si="193">C256-C252</f>
        <v>0</v>
      </c>
      <c r="D261" s="55">
        <f t="shared" si="193"/>
        <v>0</v>
      </c>
      <c r="E261" s="55">
        <f t="shared" si="193"/>
        <v>0</v>
      </c>
      <c r="F261" s="55">
        <f t="shared" si="193"/>
        <v>0</v>
      </c>
      <c r="G261" s="55">
        <f t="shared" si="193"/>
        <v>0</v>
      </c>
      <c r="H261" s="55">
        <f t="shared" si="193"/>
        <v>0</v>
      </c>
      <c r="I261" s="55">
        <f t="shared" si="193"/>
        <v>0</v>
      </c>
      <c r="J261" s="377"/>
      <c r="K261" s="379">
        <f t="shared" ref="K261" si="194">SUM(C261:I261)</f>
        <v>0</v>
      </c>
      <c r="L261" s="2"/>
    </row>
    <row r="262" spans="2:12" s="1" customFormat="1" ht="13.15" customHeight="1" x14ac:dyDescent="0.25">
      <c r="B262" s="384" t="s">
        <v>152</v>
      </c>
      <c r="C262" s="361">
        <f t="shared" si="193"/>
        <v>0</v>
      </c>
      <c r="D262" s="51">
        <f t="shared" si="193"/>
        <v>0</v>
      </c>
      <c r="E262" s="51">
        <f t="shared" si="193"/>
        <v>0</v>
      </c>
      <c r="F262" s="51">
        <f t="shared" si="193"/>
        <v>0</v>
      </c>
      <c r="G262" s="51">
        <f t="shared" si="193"/>
        <v>0</v>
      </c>
      <c r="H262" s="51">
        <f t="shared" si="193"/>
        <v>0</v>
      </c>
      <c r="I262" s="51">
        <f t="shared" si="193"/>
        <v>0</v>
      </c>
      <c r="J262" s="343"/>
      <c r="K262" s="385">
        <f t="shared" ref="K262" si="195">SUM(C262:I262)</f>
        <v>0</v>
      </c>
      <c r="L262" s="2"/>
    </row>
    <row r="263" spans="2:12" s="1" customFormat="1" ht="13.15" customHeight="1" thickBot="1" x14ac:dyDescent="0.3">
      <c r="B263" s="384"/>
      <c r="C263" s="361">
        <f t="shared" si="193"/>
        <v>0</v>
      </c>
      <c r="D263" s="51">
        <f t="shared" si="193"/>
        <v>0</v>
      </c>
      <c r="E263" s="51">
        <f t="shared" si="193"/>
        <v>0</v>
      </c>
      <c r="F263" s="51">
        <f t="shared" si="193"/>
        <v>0</v>
      </c>
      <c r="G263" s="51">
        <f t="shared" si="193"/>
        <v>0</v>
      </c>
      <c r="H263" s="51">
        <f t="shared" si="193"/>
        <v>0</v>
      </c>
      <c r="I263" s="51">
        <f t="shared" si="193"/>
        <v>0</v>
      </c>
      <c r="J263" s="343"/>
      <c r="K263" s="385">
        <f t="shared" ref="K263:K301" si="196">SUM(C263:I263)</f>
        <v>0</v>
      </c>
      <c r="L263" s="2"/>
    </row>
    <row r="264" spans="2:12" s="1" customFormat="1" ht="13.15" customHeight="1" x14ac:dyDescent="0.25">
      <c r="B264" s="956" t="s">
        <v>402</v>
      </c>
      <c r="C264" s="382">
        <f>C57</f>
        <v>0</v>
      </c>
      <c r="D264" s="295">
        <f t="shared" ref="D264:I264" si="197">D57</f>
        <v>0</v>
      </c>
      <c r="E264" s="295">
        <f t="shared" si="197"/>
        <v>0</v>
      </c>
      <c r="F264" s="295">
        <f t="shared" si="197"/>
        <v>0</v>
      </c>
      <c r="G264" s="295">
        <f t="shared" si="197"/>
        <v>0</v>
      </c>
      <c r="H264" s="295">
        <f t="shared" si="197"/>
        <v>0</v>
      </c>
      <c r="I264" s="295">
        <f t="shared" si="197"/>
        <v>0</v>
      </c>
      <c r="J264" s="367"/>
      <c r="K264" s="965">
        <f t="shared" ref="K264:K275" si="198">SUM(C264:I264)</f>
        <v>0</v>
      </c>
      <c r="L264" s="2"/>
    </row>
    <row r="265" spans="2:12" s="1" customFormat="1" ht="13.15" customHeight="1" x14ac:dyDescent="0.25">
      <c r="B265" s="957"/>
      <c r="C265" s="361">
        <f>C58</f>
        <v>0</v>
      </c>
      <c r="D265" s="51">
        <f t="shared" ref="D265:I265" si="199">D58</f>
        <v>0</v>
      </c>
      <c r="E265" s="51">
        <f t="shared" si="199"/>
        <v>0</v>
      </c>
      <c r="F265" s="51">
        <f t="shared" si="199"/>
        <v>0</v>
      </c>
      <c r="G265" s="51">
        <f t="shared" si="199"/>
        <v>0</v>
      </c>
      <c r="H265" s="51">
        <f t="shared" si="199"/>
        <v>0</v>
      </c>
      <c r="I265" s="51">
        <f t="shared" si="199"/>
        <v>0</v>
      </c>
      <c r="J265" s="343"/>
      <c r="K265" s="966">
        <f t="shared" si="198"/>
        <v>0</v>
      </c>
      <c r="L265" s="2"/>
    </row>
    <row r="266" spans="2:12" s="1" customFormat="1" ht="13.15" customHeight="1" x14ac:dyDescent="0.25">
      <c r="B266" s="957" t="s">
        <v>403</v>
      </c>
      <c r="C266" s="374">
        <f>C59</f>
        <v>0</v>
      </c>
      <c r="D266" s="55">
        <f t="shared" ref="D266:I266" si="200">D59</f>
        <v>0</v>
      </c>
      <c r="E266" s="55">
        <f t="shared" si="200"/>
        <v>0</v>
      </c>
      <c r="F266" s="55">
        <f t="shared" si="200"/>
        <v>0</v>
      </c>
      <c r="G266" s="55">
        <f t="shared" si="200"/>
        <v>0</v>
      </c>
      <c r="H266" s="55">
        <f t="shared" si="200"/>
        <v>0</v>
      </c>
      <c r="I266" s="55">
        <f t="shared" si="200"/>
        <v>0</v>
      </c>
      <c r="J266" s="343"/>
      <c r="K266" s="966">
        <f t="shared" si="198"/>
        <v>0</v>
      </c>
      <c r="L266" s="2"/>
    </row>
    <row r="267" spans="2:12" s="1" customFormat="1" ht="13.15" customHeight="1" x14ac:dyDescent="0.25">
      <c r="B267" s="957"/>
      <c r="C267" s="374">
        <f>C60</f>
        <v>0</v>
      </c>
      <c r="D267" s="55">
        <f t="shared" ref="D267:I267" si="201">D60</f>
        <v>0</v>
      </c>
      <c r="E267" s="55">
        <f t="shared" si="201"/>
        <v>0</v>
      </c>
      <c r="F267" s="55">
        <f t="shared" si="201"/>
        <v>0</v>
      </c>
      <c r="G267" s="55">
        <f t="shared" si="201"/>
        <v>0</v>
      </c>
      <c r="H267" s="55">
        <f t="shared" si="201"/>
        <v>0</v>
      </c>
      <c r="I267" s="55">
        <f t="shared" si="201"/>
        <v>0</v>
      </c>
      <c r="J267" s="343"/>
      <c r="K267" s="966">
        <f t="shared" si="198"/>
        <v>0</v>
      </c>
      <c r="L267" s="2"/>
    </row>
    <row r="268" spans="2:12" s="1" customFormat="1" ht="13.15" customHeight="1" x14ac:dyDescent="0.25">
      <c r="B268" s="957" t="s">
        <v>404</v>
      </c>
      <c r="C268" s="961">
        <v>0</v>
      </c>
      <c r="D268" s="962">
        <v>0</v>
      </c>
      <c r="E268" s="962">
        <v>0</v>
      </c>
      <c r="F268" s="962">
        <v>0</v>
      </c>
      <c r="G268" s="962">
        <v>0</v>
      </c>
      <c r="H268" s="962">
        <v>0</v>
      </c>
      <c r="I268" s="963">
        <v>0</v>
      </c>
      <c r="J268" s="964"/>
      <c r="K268" s="966">
        <f t="shared" si="198"/>
        <v>0</v>
      </c>
      <c r="L268" s="2"/>
    </row>
    <row r="269" spans="2:12" s="1" customFormat="1" ht="13.15" customHeight="1" x14ac:dyDescent="0.25">
      <c r="B269" s="957"/>
      <c r="C269" s="961">
        <v>0</v>
      </c>
      <c r="D269" s="962">
        <v>0</v>
      </c>
      <c r="E269" s="962">
        <v>0</v>
      </c>
      <c r="F269" s="962">
        <v>0</v>
      </c>
      <c r="G269" s="962">
        <v>0</v>
      </c>
      <c r="H269" s="962">
        <v>0</v>
      </c>
      <c r="I269" s="963">
        <v>0</v>
      </c>
      <c r="J269" s="964"/>
      <c r="K269" s="966">
        <f t="shared" si="198"/>
        <v>0</v>
      </c>
      <c r="L269" s="2"/>
    </row>
    <row r="270" spans="2:12" s="1" customFormat="1" ht="13.15" customHeight="1" x14ac:dyDescent="0.25">
      <c r="B270" s="957" t="s">
        <v>405</v>
      </c>
      <c r="C270" s="961">
        <v>0</v>
      </c>
      <c r="D270" s="963">
        <v>0</v>
      </c>
      <c r="E270" s="963">
        <v>0</v>
      </c>
      <c r="F270" s="963">
        <v>0</v>
      </c>
      <c r="G270" s="963">
        <v>0</v>
      </c>
      <c r="H270" s="963">
        <v>0</v>
      </c>
      <c r="I270" s="963">
        <v>0</v>
      </c>
      <c r="J270" s="964"/>
      <c r="K270" s="966">
        <f t="shared" si="198"/>
        <v>0</v>
      </c>
      <c r="L270" s="2"/>
    </row>
    <row r="271" spans="2:12" s="1" customFormat="1" ht="13.15" customHeight="1" thickBot="1" x14ac:dyDescent="0.3">
      <c r="B271" s="958"/>
      <c r="C271" s="961">
        <v>0</v>
      </c>
      <c r="D271" s="963">
        <v>0</v>
      </c>
      <c r="E271" s="963">
        <v>0</v>
      </c>
      <c r="F271" s="963">
        <v>0</v>
      </c>
      <c r="G271" s="963">
        <v>0</v>
      </c>
      <c r="H271" s="963">
        <v>0</v>
      </c>
      <c r="I271" s="963">
        <v>0</v>
      </c>
      <c r="J271" s="964"/>
      <c r="K271" s="967">
        <f t="shared" si="198"/>
        <v>0</v>
      </c>
      <c r="L271" s="2"/>
    </row>
    <row r="272" spans="2:12" s="1" customFormat="1" ht="13.15" customHeight="1" thickBot="1" x14ac:dyDescent="0.3">
      <c r="B272" s="959" t="s">
        <v>406</v>
      </c>
      <c r="C272" s="656">
        <f>C268+C269+C271+C270</f>
        <v>0</v>
      </c>
      <c r="D272" s="657">
        <f t="shared" ref="D272:I272" si="202">D268+D269+D271+D270</f>
        <v>0</v>
      </c>
      <c r="E272" s="657">
        <f t="shared" si="202"/>
        <v>0</v>
      </c>
      <c r="F272" s="657">
        <f t="shared" si="202"/>
        <v>0</v>
      </c>
      <c r="G272" s="657">
        <f t="shared" si="202"/>
        <v>0</v>
      </c>
      <c r="H272" s="657">
        <f t="shared" si="202"/>
        <v>0</v>
      </c>
      <c r="I272" s="657">
        <f t="shared" si="202"/>
        <v>0</v>
      </c>
      <c r="J272" s="658"/>
      <c r="K272" s="968">
        <f t="shared" si="198"/>
        <v>0</v>
      </c>
      <c r="L272" s="2"/>
    </row>
    <row r="273" spans="2:12" s="1" customFormat="1" ht="13.15" customHeight="1" x14ac:dyDescent="0.25">
      <c r="B273" s="960" t="s">
        <v>151</v>
      </c>
      <c r="C273" s="374">
        <f>C268-C264</f>
        <v>0</v>
      </c>
      <c r="D273" s="55">
        <f t="shared" ref="D273:I273" si="203">D268-D264</f>
        <v>0</v>
      </c>
      <c r="E273" s="55">
        <f t="shared" si="203"/>
        <v>0</v>
      </c>
      <c r="F273" s="55">
        <f t="shared" si="203"/>
        <v>0</v>
      </c>
      <c r="G273" s="55">
        <f t="shared" si="203"/>
        <v>0</v>
      </c>
      <c r="H273" s="55">
        <f t="shared" si="203"/>
        <v>0</v>
      </c>
      <c r="I273" s="55">
        <f t="shared" si="203"/>
        <v>0</v>
      </c>
      <c r="J273" s="377"/>
      <c r="K273" s="969">
        <f t="shared" si="198"/>
        <v>0</v>
      </c>
      <c r="L273" s="2"/>
    </row>
    <row r="274" spans="2:12" s="1" customFormat="1" ht="13.15" customHeight="1" x14ac:dyDescent="0.25">
      <c r="B274" s="957"/>
      <c r="C274" s="374">
        <f>C269-C265</f>
        <v>0</v>
      </c>
      <c r="D274" s="55">
        <f t="shared" ref="D274:I274" si="204">D269-D265</f>
        <v>0</v>
      </c>
      <c r="E274" s="55">
        <f t="shared" si="204"/>
        <v>0</v>
      </c>
      <c r="F274" s="55">
        <f t="shared" si="204"/>
        <v>0</v>
      </c>
      <c r="G274" s="55">
        <f t="shared" si="204"/>
        <v>0</v>
      </c>
      <c r="H274" s="55">
        <f t="shared" si="204"/>
        <v>0</v>
      </c>
      <c r="I274" s="55">
        <f t="shared" si="204"/>
        <v>0</v>
      </c>
      <c r="J274" s="377"/>
      <c r="K274" s="966">
        <f t="shared" si="198"/>
        <v>0</v>
      </c>
      <c r="L274" s="2"/>
    </row>
    <row r="275" spans="2:12" s="1" customFormat="1" ht="13.15" customHeight="1" x14ac:dyDescent="0.25">
      <c r="B275" s="958" t="s">
        <v>152</v>
      </c>
      <c r="C275" s="361">
        <f t="shared" ref="C275:I275" si="205">C270-C266</f>
        <v>0</v>
      </c>
      <c r="D275" s="51">
        <f t="shared" si="205"/>
        <v>0</v>
      </c>
      <c r="E275" s="51">
        <f t="shared" si="205"/>
        <v>0</v>
      </c>
      <c r="F275" s="51">
        <f t="shared" si="205"/>
        <v>0</v>
      </c>
      <c r="G275" s="51">
        <f t="shared" si="205"/>
        <v>0</v>
      </c>
      <c r="H275" s="51">
        <f t="shared" si="205"/>
        <v>0</v>
      </c>
      <c r="I275" s="51">
        <f t="shared" si="205"/>
        <v>0</v>
      </c>
      <c r="J275" s="343"/>
      <c r="K275" s="967">
        <f t="shared" si="198"/>
        <v>0</v>
      </c>
      <c r="L275" s="2"/>
    </row>
    <row r="276" spans="2:12" s="1" customFormat="1" ht="13.15" customHeight="1" thickBot="1" x14ac:dyDescent="0.3">
      <c r="B276" s="958"/>
      <c r="C276" s="361">
        <f t="shared" ref="C276:I276" si="206">C271-C267</f>
        <v>0</v>
      </c>
      <c r="D276" s="51">
        <f t="shared" si="206"/>
        <v>0</v>
      </c>
      <c r="E276" s="51">
        <f t="shared" si="206"/>
        <v>0</v>
      </c>
      <c r="F276" s="51">
        <f t="shared" si="206"/>
        <v>0</v>
      </c>
      <c r="G276" s="51">
        <f t="shared" si="206"/>
        <v>0</v>
      </c>
      <c r="H276" s="51">
        <f t="shared" si="206"/>
        <v>0</v>
      </c>
      <c r="I276" s="51">
        <f t="shared" si="206"/>
        <v>0</v>
      </c>
      <c r="J276" s="343"/>
      <c r="K276" s="967">
        <f t="shared" ref="K276:K288" si="207">SUM(C276:I276)</f>
        <v>0</v>
      </c>
      <c r="L276" s="2"/>
    </row>
    <row r="277" spans="2:12" s="1" customFormat="1" ht="13.15" customHeight="1" x14ac:dyDescent="0.25">
      <c r="B277" s="970" t="s">
        <v>407</v>
      </c>
      <c r="C277" s="382">
        <f>C61</f>
        <v>0</v>
      </c>
      <c r="D277" s="382">
        <f t="shared" ref="D277:I277" si="208">D61</f>
        <v>0</v>
      </c>
      <c r="E277" s="382">
        <f t="shared" si="208"/>
        <v>0</v>
      </c>
      <c r="F277" s="382">
        <f t="shared" si="208"/>
        <v>200</v>
      </c>
      <c r="G277" s="382">
        <f t="shared" si="208"/>
        <v>0</v>
      </c>
      <c r="H277" s="382">
        <f t="shared" si="208"/>
        <v>0</v>
      </c>
      <c r="I277" s="382">
        <f t="shared" si="208"/>
        <v>0</v>
      </c>
      <c r="J277" s="367"/>
      <c r="K277" s="979">
        <f t="shared" si="207"/>
        <v>200</v>
      </c>
      <c r="L277" s="2"/>
    </row>
    <row r="278" spans="2:12" s="1" customFormat="1" ht="13.15" customHeight="1" x14ac:dyDescent="0.25">
      <c r="B278" s="971"/>
      <c r="C278" s="361">
        <f>C62</f>
        <v>0</v>
      </c>
      <c r="D278" s="361">
        <f t="shared" ref="D278:I278" si="209">D62</f>
        <v>0</v>
      </c>
      <c r="E278" s="361">
        <f t="shared" si="209"/>
        <v>0</v>
      </c>
      <c r="F278" s="361">
        <f t="shared" si="209"/>
        <v>0</v>
      </c>
      <c r="G278" s="361">
        <f t="shared" si="209"/>
        <v>0</v>
      </c>
      <c r="H278" s="361">
        <f t="shared" si="209"/>
        <v>0</v>
      </c>
      <c r="I278" s="361">
        <f t="shared" si="209"/>
        <v>0</v>
      </c>
      <c r="J278" s="343"/>
      <c r="K278" s="980">
        <f t="shared" si="207"/>
        <v>0</v>
      </c>
      <c r="L278" s="2"/>
    </row>
    <row r="279" spans="2:12" s="1" customFormat="1" ht="13.15" customHeight="1" x14ac:dyDescent="0.25">
      <c r="B279" s="971" t="s">
        <v>408</v>
      </c>
      <c r="C279" s="374">
        <f>C63</f>
        <v>0</v>
      </c>
      <c r="D279" s="374">
        <f t="shared" ref="D279:I279" si="210">D63</f>
        <v>0</v>
      </c>
      <c r="E279" s="374">
        <f t="shared" si="210"/>
        <v>0</v>
      </c>
      <c r="F279" s="374">
        <f t="shared" si="210"/>
        <v>0</v>
      </c>
      <c r="G279" s="374">
        <f t="shared" si="210"/>
        <v>0</v>
      </c>
      <c r="H279" s="374">
        <f t="shared" si="210"/>
        <v>0</v>
      </c>
      <c r="I279" s="374">
        <f t="shared" si="210"/>
        <v>0</v>
      </c>
      <c r="J279" s="343"/>
      <c r="K279" s="980">
        <f t="shared" si="207"/>
        <v>0</v>
      </c>
      <c r="L279" s="2"/>
    </row>
    <row r="280" spans="2:12" s="1" customFormat="1" ht="13.15" customHeight="1" x14ac:dyDescent="0.25">
      <c r="B280" s="971"/>
      <c r="C280" s="374">
        <f>C64</f>
        <v>0</v>
      </c>
      <c r="D280" s="374">
        <f t="shared" ref="D280:I280" si="211">D64</f>
        <v>0</v>
      </c>
      <c r="E280" s="374">
        <f t="shared" si="211"/>
        <v>0</v>
      </c>
      <c r="F280" s="374">
        <f t="shared" si="211"/>
        <v>0</v>
      </c>
      <c r="G280" s="374">
        <f t="shared" si="211"/>
        <v>0</v>
      </c>
      <c r="H280" s="374">
        <f t="shared" si="211"/>
        <v>0</v>
      </c>
      <c r="I280" s="374">
        <f t="shared" si="211"/>
        <v>0</v>
      </c>
      <c r="J280" s="343"/>
      <c r="K280" s="980">
        <f t="shared" si="207"/>
        <v>0</v>
      </c>
      <c r="L280" s="2"/>
    </row>
    <row r="281" spans="2:12" s="1" customFormat="1" ht="13.15" customHeight="1" x14ac:dyDescent="0.25">
      <c r="B281" s="971" t="s">
        <v>409</v>
      </c>
      <c r="C281" s="975">
        <v>0</v>
      </c>
      <c r="D281" s="976">
        <v>0</v>
      </c>
      <c r="E281" s="976">
        <v>85</v>
      </c>
      <c r="F281" s="976">
        <v>243</v>
      </c>
      <c r="G281" s="976">
        <v>0</v>
      </c>
      <c r="H281" s="976">
        <v>0</v>
      </c>
      <c r="I281" s="977">
        <v>0</v>
      </c>
      <c r="J281" s="978"/>
      <c r="K281" s="980">
        <f t="shared" si="207"/>
        <v>328</v>
      </c>
      <c r="L281" s="2"/>
    </row>
    <row r="282" spans="2:12" s="1" customFormat="1" ht="13.15" customHeight="1" x14ac:dyDescent="0.25">
      <c r="B282" s="971"/>
      <c r="C282" s="975">
        <v>0</v>
      </c>
      <c r="D282" s="976">
        <v>0</v>
      </c>
      <c r="E282" s="976">
        <v>0</v>
      </c>
      <c r="F282" s="976">
        <v>0</v>
      </c>
      <c r="G282" s="976">
        <v>0</v>
      </c>
      <c r="H282" s="976">
        <v>0</v>
      </c>
      <c r="I282" s="977">
        <v>0</v>
      </c>
      <c r="J282" s="978"/>
      <c r="K282" s="980">
        <f t="shared" si="207"/>
        <v>0</v>
      </c>
      <c r="L282" s="2"/>
    </row>
    <row r="283" spans="2:12" s="1" customFormat="1" ht="13.15" customHeight="1" x14ac:dyDescent="0.25">
      <c r="B283" s="971" t="s">
        <v>410</v>
      </c>
      <c r="C283" s="975">
        <v>0</v>
      </c>
      <c r="D283" s="977">
        <v>0</v>
      </c>
      <c r="E283" s="977">
        <v>0</v>
      </c>
      <c r="F283" s="977">
        <v>0</v>
      </c>
      <c r="G283" s="977">
        <v>0</v>
      </c>
      <c r="H283" s="977">
        <v>0</v>
      </c>
      <c r="I283" s="977">
        <v>0</v>
      </c>
      <c r="J283" s="978"/>
      <c r="K283" s="980">
        <f t="shared" si="207"/>
        <v>0</v>
      </c>
      <c r="L283" s="2"/>
    </row>
    <row r="284" spans="2:12" s="1" customFormat="1" ht="13.15" customHeight="1" thickBot="1" x14ac:dyDescent="0.3">
      <c r="B284" s="972"/>
      <c r="C284" s="975">
        <v>0</v>
      </c>
      <c r="D284" s="977">
        <v>0</v>
      </c>
      <c r="E284" s="977">
        <v>0</v>
      </c>
      <c r="F284" s="977">
        <v>0</v>
      </c>
      <c r="G284" s="977">
        <v>0</v>
      </c>
      <c r="H284" s="977">
        <v>0</v>
      </c>
      <c r="I284" s="977">
        <v>0</v>
      </c>
      <c r="J284" s="978"/>
      <c r="K284" s="981">
        <f t="shared" si="207"/>
        <v>0</v>
      </c>
      <c r="L284" s="2"/>
    </row>
    <row r="285" spans="2:12" s="1" customFormat="1" ht="13.15" customHeight="1" thickBot="1" x14ac:dyDescent="0.3">
      <c r="B285" s="973" t="s">
        <v>411</v>
      </c>
      <c r="C285" s="656">
        <f>C281+C282+C284+C283</f>
        <v>0</v>
      </c>
      <c r="D285" s="657">
        <f t="shared" ref="D285:I285" si="212">D281+D282+D284+D283</f>
        <v>0</v>
      </c>
      <c r="E285" s="657">
        <f t="shared" si="212"/>
        <v>85</v>
      </c>
      <c r="F285" s="657">
        <f t="shared" si="212"/>
        <v>243</v>
      </c>
      <c r="G285" s="657">
        <f t="shared" si="212"/>
        <v>0</v>
      </c>
      <c r="H285" s="657">
        <f t="shared" si="212"/>
        <v>0</v>
      </c>
      <c r="I285" s="657">
        <f t="shared" si="212"/>
        <v>0</v>
      </c>
      <c r="J285" s="658"/>
      <c r="K285" s="982">
        <f t="shared" si="207"/>
        <v>328</v>
      </c>
      <c r="L285" s="2"/>
    </row>
    <row r="286" spans="2:12" s="1" customFormat="1" ht="13.15" customHeight="1" x14ac:dyDescent="0.25">
      <c r="B286" s="974" t="s">
        <v>151</v>
      </c>
      <c r="C286" s="374">
        <f>C281-C277</f>
        <v>0</v>
      </c>
      <c r="D286" s="55">
        <f t="shared" ref="D286:I286" si="213">D281-D277</f>
        <v>0</v>
      </c>
      <c r="E286" s="55">
        <f t="shared" si="213"/>
        <v>85</v>
      </c>
      <c r="F286" s="55">
        <f t="shared" si="213"/>
        <v>43</v>
      </c>
      <c r="G286" s="55">
        <f t="shared" si="213"/>
        <v>0</v>
      </c>
      <c r="H286" s="55">
        <f t="shared" si="213"/>
        <v>0</v>
      </c>
      <c r="I286" s="55">
        <f t="shared" si="213"/>
        <v>0</v>
      </c>
      <c r="J286" s="377"/>
      <c r="K286" s="983">
        <f t="shared" si="207"/>
        <v>128</v>
      </c>
      <c r="L286" s="2"/>
    </row>
    <row r="287" spans="2:12" s="1" customFormat="1" ht="13.15" customHeight="1" x14ac:dyDescent="0.25">
      <c r="B287" s="971"/>
      <c r="C287" s="374">
        <f>C282-C278</f>
        <v>0</v>
      </c>
      <c r="D287" s="55">
        <f t="shared" ref="D287:I287" si="214">D282-D278</f>
        <v>0</v>
      </c>
      <c r="E287" s="55">
        <f t="shared" si="214"/>
        <v>0</v>
      </c>
      <c r="F287" s="55">
        <f t="shared" si="214"/>
        <v>0</v>
      </c>
      <c r="G287" s="55">
        <f t="shared" si="214"/>
        <v>0</v>
      </c>
      <c r="H287" s="55">
        <f t="shared" si="214"/>
        <v>0</v>
      </c>
      <c r="I287" s="55">
        <f t="shared" si="214"/>
        <v>0</v>
      </c>
      <c r="J287" s="377"/>
      <c r="K287" s="980">
        <f t="shared" si="207"/>
        <v>0</v>
      </c>
      <c r="L287" s="2"/>
    </row>
    <row r="288" spans="2:12" s="1" customFormat="1" ht="13.15" customHeight="1" x14ac:dyDescent="0.25">
      <c r="B288" s="972" t="s">
        <v>152</v>
      </c>
      <c r="C288" s="361">
        <f t="shared" ref="C288:I288" si="215">C283-C279</f>
        <v>0</v>
      </c>
      <c r="D288" s="51">
        <f t="shared" si="215"/>
        <v>0</v>
      </c>
      <c r="E288" s="51">
        <f t="shared" si="215"/>
        <v>0</v>
      </c>
      <c r="F288" s="51">
        <f t="shared" si="215"/>
        <v>0</v>
      </c>
      <c r="G288" s="51">
        <f t="shared" si="215"/>
        <v>0</v>
      </c>
      <c r="H288" s="51">
        <f t="shared" si="215"/>
        <v>0</v>
      </c>
      <c r="I288" s="51">
        <f t="shared" si="215"/>
        <v>0</v>
      </c>
      <c r="J288" s="343"/>
      <c r="K288" s="981">
        <f t="shared" si="207"/>
        <v>0</v>
      </c>
      <c r="L288" s="2"/>
    </row>
    <row r="289" spans="2:12" s="1" customFormat="1" ht="13.15" customHeight="1" thickBot="1" x14ac:dyDescent="0.3">
      <c r="B289" s="972"/>
      <c r="C289" s="361">
        <f t="shared" ref="C289:I289" si="216">C284-C280</f>
        <v>0</v>
      </c>
      <c r="D289" s="51">
        <f t="shared" si="216"/>
        <v>0</v>
      </c>
      <c r="E289" s="51">
        <f t="shared" si="216"/>
        <v>0</v>
      </c>
      <c r="F289" s="51">
        <f t="shared" si="216"/>
        <v>0</v>
      </c>
      <c r="G289" s="51">
        <f t="shared" si="216"/>
        <v>0</v>
      </c>
      <c r="H289" s="51">
        <f t="shared" si="216"/>
        <v>0</v>
      </c>
      <c r="I289" s="51">
        <f t="shared" si="216"/>
        <v>0</v>
      </c>
      <c r="J289" s="343"/>
      <c r="K289" s="981">
        <f t="shared" ref="K289" si="217">SUM(C289:I289)</f>
        <v>0</v>
      </c>
      <c r="L289" s="2"/>
    </row>
    <row r="290" spans="2:12" s="1" customFormat="1" ht="13.15" customHeight="1" x14ac:dyDescent="0.25">
      <c r="B290" s="873" t="s">
        <v>373</v>
      </c>
      <c r="C290" s="382">
        <f>C65</f>
        <v>0</v>
      </c>
      <c r="D290" s="295">
        <f t="shared" ref="D290:I290" si="218">D65</f>
        <v>0</v>
      </c>
      <c r="E290" s="295">
        <f t="shared" si="218"/>
        <v>0</v>
      </c>
      <c r="F290" s="295">
        <f t="shared" si="218"/>
        <v>0</v>
      </c>
      <c r="G290" s="295">
        <f t="shared" si="218"/>
        <v>700</v>
      </c>
      <c r="H290" s="295">
        <f t="shared" si="218"/>
        <v>0</v>
      </c>
      <c r="I290" s="295">
        <f t="shared" si="218"/>
        <v>0</v>
      </c>
      <c r="J290" s="367"/>
      <c r="K290" s="882">
        <f t="shared" si="196"/>
        <v>700</v>
      </c>
      <c r="L290" s="2"/>
    </row>
    <row r="291" spans="2:12" s="1" customFormat="1" ht="13.15" customHeight="1" x14ac:dyDescent="0.25">
      <c r="B291" s="874"/>
      <c r="C291" s="361">
        <f>C66</f>
        <v>0</v>
      </c>
      <c r="D291" s="51">
        <f t="shared" ref="D291:I291" si="219">D66</f>
        <v>0</v>
      </c>
      <c r="E291" s="51">
        <f t="shared" si="219"/>
        <v>0</v>
      </c>
      <c r="F291" s="51">
        <f t="shared" si="219"/>
        <v>0</v>
      </c>
      <c r="G291" s="51">
        <f t="shared" si="219"/>
        <v>0</v>
      </c>
      <c r="H291" s="51">
        <f t="shared" si="219"/>
        <v>0</v>
      </c>
      <c r="I291" s="51">
        <f t="shared" si="219"/>
        <v>0</v>
      </c>
      <c r="J291" s="343"/>
      <c r="K291" s="883">
        <f t="shared" si="196"/>
        <v>0</v>
      </c>
      <c r="L291" s="2"/>
    </row>
    <row r="292" spans="2:12" s="1" customFormat="1" ht="13.15" customHeight="1" x14ac:dyDescent="0.25">
      <c r="B292" s="874" t="s">
        <v>374</v>
      </c>
      <c r="C292" s="374">
        <f>C67</f>
        <v>0</v>
      </c>
      <c r="D292" s="55">
        <f t="shared" ref="D292:I292" si="220">D67</f>
        <v>0</v>
      </c>
      <c r="E292" s="55">
        <f t="shared" si="220"/>
        <v>0</v>
      </c>
      <c r="F292" s="55">
        <f t="shared" si="220"/>
        <v>0</v>
      </c>
      <c r="G292" s="55">
        <f t="shared" si="220"/>
        <v>0</v>
      </c>
      <c r="H292" s="55">
        <f t="shared" si="220"/>
        <v>0</v>
      </c>
      <c r="I292" s="55">
        <f t="shared" si="220"/>
        <v>0</v>
      </c>
      <c r="J292" s="343"/>
      <c r="K292" s="883">
        <f t="shared" si="196"/>
        <v>0</v>
      </c>
      <c r="L292" s="2"/>
    </row>
    <row r="293" spans="2:12" s="1" customFormat="1" ht="13.15" customHeight="1" x14ac:dyDescent="0.25">
      <c r="B293" s="874"/>
      <c r="C293" s="374">
        <f>C68</f>
        <v>0</v>
      </c>
      <c r="D293" s="55">
        <f t="shared" ref="D293:I293" si="221">D68</f>
        <v>0</v>
      </c>
      <c r="E293" s="55">
        <f t="shared" si="221"/>
        <v>0</v>
      </c>
      <c r="F293" s="55">
        <f t="shared" si="221"/>
        <v>0</v>
      </c>
      <c r="G293" s="55">
        <f t="shared" si="221"/>
        <v>0</v>
      </c>
      <c r="H293" s="55">
        <f t="shared" si="221"/>
        <v>0</v>
      </c>
      <c r="I293" s="55">
        <f t="shared" si="221"/>
        <v>0</v>
      </c>
      <c r="J293" s="343"/>
      <c r="K293" s="883">
        <f t="shared" si="196"/>
        <v>0</v>
      </c>
      <c r="L293" s="2"/>
    </row>
    <row r="294" spans="2:12" s="1" customFormat="1" ht="13.15" customHeight="1" x14ac:dyDescent="0.25">
      <c r="B294" s="874" t="s">
        <v>375</v>
      </c>
      <c r="C294" s="878">
        <v>0</v>
      </c>
      <c r="D294" s="879">
        <v>0</v>
      </c>
      <c r="E294" s="879">
        <v>0</v>
      </c>
      <c r="F294" s="879">
        <v>530</v>
      </c>
      <c r="G294" s="879">
        <v>633</v>
      </c>
      <c r="H294" s="879">
        <v>0</v>
      </c>
      <c r="I294" s="880">
        <v>0</v>
      </c>
      <c r="J294" s="881"/>
      <c r="K294" s="883">
        <f t="shared" si="196"/>
        <v>1163</v>
      </c>
      <c r="L294" s="2"/>
    </row>
    <row r="295" spans="2:12" s="1" customFormat="1" ht="13.15" customHeight="1" x14ac:dyDescent="0.25">
      <c r="B295" s="874"/>
      <c r="C295" s="878">
        <v>0</v>
      </c>
      <c r="D295" s="879">
        <v>0</v>
      </c>
      <c r="E295" s="879">
        <v>0</v>
      </c>
      <c r="F295" s="879">
        <v>0</v>
      </c>
      <c r="G295" s="879">
        <v>0</v>
      </c>
      <c r="H295" s="879">
        <v>0</v>
      </c>
      <c r="I295" s="880">
        <v>0</v>
      </c>
      <c r="J295" s="881"/>
      <c r="K295" s="883">
        <f t="shared" si="196"/>
        <v>0</v>
      </c>
      <c r="L295" s="2"/>
    </row>
    <row r="296" spans="2:12" s="1" customFormat="1" ht="13.15" customHeight="1" x14ac:dyDescent="0.25">
      <c r="B296" s="874" t="s">
        <v>376</v>
      </c>
      <c r="C296" s="878">
        <v>0</v>
      </c>
      <c r="D296" s="880">
        <v>0</v>
      </c>
      <c r="E296" s="880">
        <v>0</v>
      </c>
      <c r="F296" s="880">
        <v>0</v>
      </c>
      <c r="G296" s="880">
        <v>0</v>
      </c>
      <c r="H296" s="880">
        <v>0</v>
      </c>
      <c r="I296" s="880">
        <v>0</v>
      </c>
      <c r="J296" s="881"/>
      <c r="K296" s="883">
        <f t="shared" si="196"/>
        <v>0</v>
      </c>
      <c r="L296" s="2"/>
    </row>
    <row r="297" spans="2:12" s="1" customFormat="1" ht="13.15" customHeight="1" thickBot="1" x14ac:dyDescent="0.3">
      <c r="B297" s="875"/>
      <c r="C297" s="878">
        <v>0</v>
      </c>
      <c r="D297" s="880">
        <v>0</v>
      </c>
      <c r="E297" s="880">
        <v>0</v>
      </c>
      <c r="F297" s="880">
        <v>0</v>
      </c>
      <c r="G297" s="880">
        <v>0</v>
      </c>
      <c r="H297" s="880">
        <v>0</v>
      </c>
      <c r="I297" s="880">
        <v>0</v>
      </c>
      <c r="J297" s="881"/>
      <c r="K297" s="884">
        <f t="shared" si="196"/>
        <v>0</v>
      </c>
      <c r="L297" s="2"/>
    </row>
    <row r="298" spans="2:12" s="1" customFormat="1" ht="13.15" customHeight="1" thickBot="1" x14ac:dyDescent="0.3">
      <c r="B298" s="876" t="s">
        <v>377</v>
      </c>
      <c r="C298" s="656">
        <f>C294+C295+C297+C296</f>
        <v>0</v>
      </c>
      <c r="D298" s="657">
        <f t="shared" ref="D298:I298" si="222">D294+D295+D297+D296</f>
        <v>0</v>
      </c>
      <c r="E298" s="657">
        <f t="shared" si="222"/>
        <v>0</v>
      </c>
      <c r="F298" s="657">
        <f t="shared" si="222"/>
        <v>530</v>
      </c>
      <c r="G298" s="657">
        <f t="shared" si="222"/>
        <v>633</v>
      </c>
      <c r="H298" s="657">
        <f t="shared" si="222"/>
        <v>0</v>
      </c>
      <c r="I298" s="657">
        <f t="shared" si="222"/>
        <v>0</v>
      </c>
      <c r="J298" s="658"/>
      <c r="K298" s="885">
        <f t="shared" si="196"/>
        <v>1163</v>
      </c>
      <c r="L298" s="2"/>
    </row>
    <row r="299" spans="2:12" s="1" customFormat="1" ht="13.15" customHeight="1" x14ac:dyDescent="0.25">
      <c r="B299" s="877" t="s">
        <v>151</v>
      </c>
      <c r="C299" s="374">
        <f>C294-C290</f>
        <v>0</v>
      </c>
      <c r="D299" s="55">
        <f t="shared" ref="D299:I299" si="223">D294-D290</f>
        <v>0</v>
      </c>
      <c r="E299" s="55">
        <f t="shared" si="223"/>
        <v>0</v>
      </c>
      <c r="F299" s="55">
        <f t="shared" si="223"/>
        <v>530</v>
      </c>
      <c r="G299" s="55">
        <f t="shared" si="223"/>
        <v>-67</v>
      </c>
      <c r="H299" s="55">
        <f t="shared" si="223"/>
        <v>0</v>
      </c>
      <c r="I299" s="55">
        <f t="shared" si="223"/>
        <v>0</v>
      </c>
      <c r="J299" s="377"/>
      <c r="K299" s="886">
        <f t="shared" si="196"/>
        <v>463</v>
      </c>
      <c r="L299" s="2"/>
    </row>
    <row r="300" spans="2:12" s="1" customFormat="1" ht="13.15" customHeight="1" x14ac:dyDescent="0.25">
      <c r="B300" s="874"/>
      <c r="C300" s="374">
        <f>C295-C291</f>
        <v>0</v>
      </c>
      <c r="D300" s="55">
        <f t="shared" ref="D300:I300" si="224">D295-D291</f>
        <v>0</v>
      </c>
      <c r="E300" s="55">
        <f t="shared" si="224"/>
        <v>0</v>
      </c>
      <c r="F300" s="55">
        <f t="shared" si="224"/>
        <v>0</v>
      </c>
      <c r="G300" s="55">
        <f t="shared" si="224"/>
        <v>0</v>
      </c>
      <c r="H300" s="55">
        <f t="shared" si="224"/>
        <v>0</v>
      </c>
      <c r="I300" s="55">
        <f t="shared" si="224"/>
        <v>0</v>
      </c>
      <c r="J300" s="377"/>
      <c r="K300" s="883">
        <f t="shared" si="196"/>
        <v>0</v>
      </c>
      <c r="L300" s="2"/>
    </row>
    <row r="301" spans="2:12" s="1" customFormat="1" ht="13.15" customHeight="1" x14ac:dyDescent="0.25">
      <c r="B301" s="875" t="s">
        <v>152</v>
      </c>
      <c r="C301" s="361">
        <f t="shared" ref="C301:I301" si="225">C296-C292</f>
        <v>0</v>
      </c>
      <c r="D301" s="51">
        <f t="shared" si="225"/>
        <v>0</v>
      </c>
      <c r="E301" s="51">
        <f t="shared" si="225"/>
        <v>0</v>
      </c>
      <c r="F301" s="51">
        <f t="shared" si="225"/>
        <v>0</v>
      </c>
      <c r="G301" s="51">
        <f t="shared" si="225"/>
        <v>0</v>
      </c>
      <c r="H301" s="51">
        <f t="shared" si="225"/>
        <v>0</v>
      </c>
      <c r="I301" s="51">
        <f t="shared" si="225"/>
        <v>0</v>
      </c>
      <c r="J301" s="343"/>
      <c r="K301" s="884">
        <f t="shared" si="196"/>
        <v>0</v>
      </c>
      <c r="L301" s="2"/>
    </row>
    <row r="302" spans="2:12" s="1" customFormat="1" ht="13.15" customHeight="1" thickBot="1" x14ac:dyDescent="0.3">
      <c r="B302" s="875"/>
      <c r="C302" s="361">
        <f t="shared" ref="C302:I302" si="226">C297-C293</f>
        <v>0</v>
      </c>
      <c r="D302" s="51">
        <f t="shared" si="226"/>
        <v>0</v>
      </c>
      <c r="E302" s="51">
        <f t="shared" si="226"/>
        <v>0</v>
      </c>
      <c r="F302" s="51">
        <f t="shared" si="226"/>
        <v>0</v>
      </c>
      <c r="G302" s="51">
        <f t="shared" si="226"/>
        <v>0</v>
      </c>
      <c r="H302" s="51">
        <f t="shared" si="226"/>
        <v>0</v>
      </c>
      <c r="I302" s="51">
        <f t="shared" si="226"/>
        <v>0</v>
      </c>
      <c r="J302" s="343"/>
      <c r="K302" s="884">
        <f t="shared" ref="K302" si="227">SUM(C302:I302)</f>
        <v>0</v>
      </c>
      <c r="L302" s="2"/>
    </row>
    <row r="303" spans="2:12" s="1" customFormat="1" ht="13.15" customHeight="1" x14ac:dyDescent="0.25">
      <c r="B303" s="389" t="s">
        <v>197</v>
      </c>
      <c r="C303" s="390">
        <f t="shared" ref="C303:C310" si="228">C212+C225+C238+C251+C290+C264+C277</f>
        <v>700</v>
      </c>
      <c r="D303" s="390">
        <f t="shared" ref="D303:I303" si="229">D212+D225+D238+D251+D290+D264+D277</f>
        <v>700</v>
      </c>
      <c r="E303" s="390">
        <f t="shared" si="229"/>
        <v>700</v>
      </c>
      <c r="F303" s="390">
        <f t="shared" si="229"/>
        <v>700</v>
      </c>
      <c r="G303" s="390">
        <f t="shared" si="229"/>
        <v>700</v>
      </c>
      <c r="H303" s="390">
        <f t="shared" si="229"/>
        <v>700</v>
      </c>
      <c r="I303" s="390">
        <f t="shared" si="229"/>
        <v>0</v>
      </c>
      <c r="J303" s="443"/>
      <c r="K303" s="452">
        <f>SUM(C303:I303)</f>
        <v>4200</v>
      </c>
      <c r="L303" s="2"/>
    </row>
    <row r="304" spans="2:12" s="1" customFormat="1" ht="13.15" customHeight="1" x14ac:dyDescent="0.25">
      <c r="B304" s="391"/>
      <c r="C304" s="199">
        <f t="shared" si="228"/>
        <v>0</v>
      </c>
      <c r="D304" s="199">
        <f t="shared" ref="D304:I304" si="230">D213+D226+D239+D252+D291+D265+D278</f>
        <v>0</v>
      </c>
      <c r="E304" s="199">
        <f t="shared" si="230"/>
        <v>0</v>
      </c>
      <c r="F304" s="199">
        <f t="shared" si="230"/>
        <v>0</v>
      </c>
      <c r="G304" s="199">
        <f t="shared" si="230"/>
        <v>0</v>
      </c>
      <c r="H304" s="199">
        <f t="shared" si="230"/>
        <v>0</v>
      </c>
      <c r="I304" s="199">
        <f t="shared" si="230"/>
        <v>0</v>
      </c>
      <c r="J304" s="387"/>
      <c r="K304" s="453">
        <f t="shared" ref="K304:K312" si="231">SUM(C304:I304)</f>
        <v>0</v>
      </c>
      <c r="L304" s="2"/>
    </row>
    <row r="305" spans="2:12" s="1" customFormat="1" ht="13.15" customHeight="1" x14ac:dyDescent="0.25">
      <c r="B305" s="391" t="s">
        <v>198</v>
      </c>
      <c r="C305" s="199">
        <f t="shared" si="228"/>
        <v>0</v>
      </c>
      <c r="D305" s="199">
        <f t="shared" ref="D305:I305" si="232">D214+D227+D240+D253+D292+D266+D279</f>
        <v>0</v>
      </c>
      <c r="E305" s="199">
        <f t="shared" si="232"/>
        <v>0</v>
      </c>
      <c r="F305" s="199">
        <f t="shared" si="232"/>
        <v>0</v>
      </c>
      <c r="G305" s="199">
        <f t="shared" si="232"/>
        <v>0</v>
      </c>
      <c r="H305" s="199">
        <f t="shared" si="232"/>
        <v>0</v>
      </c>
      <c r="I305" s="199">
        <f t="shared" si="232"/>
        <v>0</v>
      </c>
      <c r="J305" s="501"/>
      <c r="K305" s="453">
        <f t="shared" si="231"/>
        <v>0</v>
      </c>
      <c r="L305" s="2"/>
    </row>
    <row r="306" spans="2:12" s="1" customFormat="1" ht="13.15" customHeight="1" x14ac:dyDescent="0.25">
      <c r="B306" s="391"/>
      <c r="C306" s="448">
        <f t="shared" si="228"/>
        <v>0</v>
      </c>
      <c r="D306" s="448">
        <f t="shared" ref="D306:I306" si="233">D215+D228+D241+D254+D293+D267+D280</f>
        <v>0</v>
      </c>
      <c r="E306" s="448">
        <f t="shared" si="233"/>
        <v>0</v>
      </c>
      <c r="F306" s="448">
        <f t="shared" si="233"/>
        <v>0</v>
      </c>
      <c r="G306" s="448">
        <f t="shared" si="233"/>
        <v>0</v>
      </c>
      <c r="H306" s="448">
        <f t="shared" si="233"/>
        <v>0</v>
      </c>
      <c r="I306" s="448">
        <f t="shared" si="233"/>
        <v>0</v>
      </c>
      <c r="J306" s="388"/>
      <c r="K306" s="453">
        <f t="shared" ref="K306" si="234">SUM(C306:I306)</f>
        <v>0</v>
      </c>
      <c r="L306" s="2"/>
    </row>
    <row r="307" spans="2:12" s="1" customFormat="1" ht="13.15" customHeight="1" x14ac:dyDescent="0.25">
      <c r="B307" s="446" t="s">
        <v>199</v>
      </c>
      <c r="C307" s="449">
        <f t="shared" si="228"/>
        <v>866</v>
      </c>
      <c r="D307" s="449">
        <f t="shared" ref="D307:I307" si="235">D216+D229+D242+D255+D294+D268+D281</f>
        <v>712</v>
      </c>
      <c r="E307" s="449">
        <f t="shared" si="235"/>
        <v>665</v>
      </c>
      <c r="F307" s="449">
        <f t="shared" si="235"/>
        <v>773</v>
      </c>
      <c r="G307" s="449">
        <f t="shared" si="235"/>
        <v>848</v>
      </c>
      <c r="H307" s="449">
        <f t="shared" si="235"/>
        <v>700</v>
      </c>
      <c r="I307" s="449">
        <f t="shared" si="235"/>
        <v>0</v>
      </c>
      <c r="J307" s="444"/>
      <c r="K307" s="453">
        <f t="shared" si="231"/>
        <v>4564</v>
      </c>
      <c r="L307" s="2"/>
    </row>
    <row r="308" spans="2:12" s="1" customFormat="1" ht="13.15" customHeight="1" x14ac:dyDescent="0.25">
      <c r="B308" s="446"/>
      <c r="C308" s="450">
        <f t="shared" si="228"/>
        <v>0</v>
      </c>
      <c r="D308" s="450">
        <f t="shared" ref="D308:I308" si="236">D217+D230+D243+D256+D295+D269+D282</f>
        <v>0</v>
      </c>
      <c r="E308" s="450">
        <f t="shared" si="236"/>
        <v>0</v>
      </c>
      <c r="F308" s="450">
        <f t="shared" si="236"/>
        <v>0</v>
      </c>
      <c r="G308" s="450">
        <f t="shared" si="236"/>
        <v>0</v>
      </c>
      <c r="H308" s="450">
        <f t="shared" si="236"/>
        <v>0</v>
      </c>
      <c r="I308" s="450">
        <f t="shared" si="236"/>
        <v>0</v>
      </c>
      <c r="J308" s="445"/>
      <c r="K308" s="453">
        <f t="shared" si="231"/>
        <v>0</v>
      </c>
      <c r="L308" s="2"/>
    </row>
    <row r="309" spans="2:12" s="1" customFormat="1" ht="13.15" customHeight="1" x14ac:dyDescent="0.25">
      <c r="B309" s="446" t="s">
        <v>200</v>
      </c>
      <c r="C309" s="450">
        <f t="shared" si="228"/>
        <v>0</v>
      </c>
      <c r="D309" s="450">
        <f t="shared" ref="D309:I309" si="237">D218+D231+D244+D257+D296+D270+D283</f>
        <v>0</v>
      </c>
      <c r="E309" s="450">
        <f t="shared" si="237"/>
        <v>0</v>
      </c>
      <c r="F309" s="450">
        <f t="shared" si="237"/>
        <v>0</v>
      </c>
      <c r="G309" s="450">
        <f t="shared" si="237"/>
        <v>0</v>
      </c>
      <c r="H309" s="450">
        <f t="shared" si="237"/>
        <v>0</v>
      </c>
      <c r="I309" s="450">
        <f t="shared" si="237"/>
        <v>0</v>
      </c>
      <c r="J309" s="502"/>
      <c r="K309" s="453">
        <f t="shared" ref="K309" si="238">SUM(C309:I309)</f>
        <v>0</v>
      </c>
      <c r="L309" s="2"/>
    </row>
    <row r="310" spans="2:12" s="1" customFormat="1" ht="13.15" customHeight="1" x14ac:dyDescent="0.25">
      <c r="B310" s="446"/>
      <c r="C310" s="450">
        <f t="shared" si="228"/>
        <v>0</v>
      </c>
      <c r="D310" s="450">
        <f t="shared" ref="D310:I310" si="239">D219+D232+D245+D258+D297+D271+D284</f>
        <v>0</v>
      </c>
      <c r="E310" s="450">
        <f t="shared" si="239"/>
        <v>0</v>
      </c>
      <c r="F310" s="450">
        <f t="shared" si="239"/>
        <v>0</v>
      </c>
      <c r="G310" s="450">
        <f t="shared" si="239"/>
        <v>0</v>
      </c>
      <c r="H310" s="450">
        <f t="shared" si="239"/>
        <v>0</v>
      </c>
      <c r="I310" s="450">
        <f t="shared" si="239"/>
        <v>0</v>
      </c>
      <c r="J310" s="502"/>
      <c r="K310" s="453">
        <f t="shared" si="231"/>
        <v>0</v>
      </c>
      <c r="L310" s="2"/>
    </row>
    <row r="311" spans="2:12" s="1" customFormat="1" ht="13.15" customHeight="1" x14ac:dyDescent="0.25">
      <c r="B311" s="391" t="s">
        <v>201</v>
      </c>
      <c r="C311" s="451">
        <f>C307-C303</f>
        <v>166</v>
      </c>
      <c r="D311" s="451">
        <f t="shared" ref="D311:I311" si="240">D307-D303</f>
        <v>12</v>
      </c>
      <c r="E311" s="451">
        <f t="shared" si="240"/>
        <v>-35</v>
      </c>
      <c r="F311" s="451">
        <f t="shared" si="240"/>
        <v>73</v>
      </c>
      <c r="G311" s="451">
        <f t="shared" si="240"/>
        <v>148</v>
      </c>
      <c r="H311" s="451">
        <f t="shared" si="240"/>
        <v>0</v>
      </c>
      <c r="I311" s="451">
        <f t="shared" si="240"/>
        <v>0</v>
      </c>
      <c r="J311" s="386"/>
      <c r="K311" s="453">
        <f t="shared" si="231"/>
        <v>364</v>
      </c>
      <c r="L311" s="2"/>
    </row>
    <row r="312" spans="2:12" s="1" customFormat="1" ht="13.15" customHeight="1" x14ac:dyDescent="0.25">
      <c r="B312" s="391"/>
      <c r="C312" s="199">
        <f>C308-C304</f>
        <v>0</v>
      </c>
      <c r="D312" s="199">
        <f t="shared" ref="D312:I312" si="241">D308-D304</f>
        <v>0</v>
      </c>
      <c r="E312" s="199">
        <f t="shared" si="241"/>
        <v>0</v>
      </c>
      <c r="F312" s="199">
        <f t="shared" si="241"/>
        <v>0</v>
      </c>
      <c r="G312" s="199">
        <f t="shared" si="241"/>
        <v>0</v>
      </c>
      <c r="H312" s="199">
        <f t="shared" si="241"/>
        <v>0</v>
      </c>
      <c r="I312" s="199">
        <f t="shared" si="241"/>
        <v>0</v>
      </c>
      <c r="J312" s="387"/>
      <c r="K312" s="453">
        <f t="shared" si="231"/>
        <v>0</v>
      </c>
      <c r="L312" s="2"/>
    </row>
    <row r="313" spans="2:12" s="1" customFormat="1" ht="13.15" customHeight="1" x14ac:dyDescent="0.25">
      <c r="B313" s="447" t="s">
        <v>202</v>
      </c>
      <c r="C313" s="199">
        <f>C305-C309</f>
        <v>0</v>
      </c>
      <c r="D313" s="199">
        <f t="shared" ref="D313:I313" si="242">D309-D305</f>
        <v>0</v>
      </c>
      <c r="E313" s="199">
        <f t="shared" si="242"/>
        <v>0</v>
      </c>
      <c r="F313" s="199">
        <f t="shared" si="242"/>
        <v>0</v>
      </c>
      <c r="G313" s="199">
        <f t="shared" si="242"/>
        <v>0</v>
      </c>
      <c r="H313" s="199">
        <f t="shared" si="242"/>
        <v>0</v>
      </c>
      <c r="I313" s="199">
        <f t="shared" si="242"/>
        <v>0</v>
      </c>
      <c r="J313" s="501"/>
      <c r="K313" s="454">
        <f t="shared" ref="K313" si="243">SUM(C313:I313)</f>
        <v>0</v>
      </c>
      <c r="L313" s="2"/>
    </row>
    <row r="314" spans="2:12" s="1" customFormat="1" ht="13.15" customHeight="1" thickBot="1" x14ac:dyDescent="0.3">
      <c r="B314" s="447"/>
      <c r="C314" s="199">
        <f>C306-C310</f>
        <v>0</v>
      </c>
      <c r="D314" s="199">
        <f t="shared" ref="D314:I314" si="244">D310-D306</f>
        <v>0</v>
      </c>
      <c r="E314" s="199">
        <f t="shared" si="244"/>
        <v>0</v>
      </c>
      <c r="F314" s="199">
        <f t="shared" si="244"/>
        <v>0</v>
      </c>
      <c r="G314" s="199">
        <f t="shared" si="244"/>
        <v>0</v>
      </c>
      <c r="H314" s="199">
        <f t="shared" si="244"/>
        <v>0</v>
      </c>
      <c r="I314" s="199">
        <f t="shared" si="244"/>
        <v>0</v>
      </c>
      <c r="J314" s="501"/>
      <c r="K314" s="454">
        <f t="shared" ref="K314" si="245">SUM(C314:I314)</f>
        <v>0</v>
      </c>
      <c r="L314" s="2"/>
    </row>
    <row r="315" spans="2:12" s="1" customFormat="1" ht="13.15" customHeight="1" x14ac:dyDescent="0.25">
      <c r="B315" s="508" t="s">
        <v>203</v>
      </c>
      <c r="C315" s="503">
        <f t="shared" ref="C315:I322" si="246">C200+C303</f>
        <v>1900</v>
      </c>
      <c r="D315" s="455">
        <f t="shared" si="246"/>
        <v>1900</v>
      </c>
      <c r="E315" s="455">
        <f t="shared" si="246"/>
        <v>1900</v>
      </c>
      <c r="F315" s="455">
        <f t="shared" si="246"/>
        <v>1900</v>
      </c>
      <c r="G315" s="455">
        <f t="shared" si="246"/>
        <v>1900</v>
      </c>
      <c r="H315" s="455">
        <f t="shared" si="246"/>
        <v>700</v>
      </c>
      <c r="I315" s="455">
        <f t="shared" si="246"/>
        <v>0</v>
      </c>
      <c r="J315" s="456"/>
      <c r="K315" s="452">
        <f t="shared" ref="K315:K318" si="247">SUM(C315:I315)</f>
        <v>10200</v>
      </c>
      <c r="L315" s="2"/>
    </row>
    <row r="316" spans="2:12" s="1" customFormat="1" ht="13.15" customHeight="1" x14ac:dyDescent="0.25">
      <c r="B316" s="509"/>
      <c r="C316" s="504">
        <f t="shared" si="246"/>
        <v>0</v>
      </c>
      <c r="D316" s="450">
        <f t="shared" si="246"/>
        <v>0</v>
      </c>
      <c r="E316" s="450">
        <f t="shared" si="246"/>
        <v>0</v>
      </c>
      <c r="F316" s="450">
        <f t="shared" si="246"/>
        <v>0</v>
      </c>
      <c r="G316" s="450">
        <f t="shared" si="246"/>
        <v>0</v>
      </c>
      <c r="H316" s="450">
        <f t="shared" si="246"/>
        <v>0</v>
      </c>
      <c r="I316" s="450">
        <f t="shared" si="246"/>
        <v>0</v>
      </c>
      <c r="J316" s="457"/>
      <c r="K316" s="453">
        <f t="shared" si="247"/>
        <v>0</v>
      </c>
      <c r="L316" s="2"/>
    </row>
    <row r="317" spans="2:12" s="1" customFormat="1" ht="13.15" customHeight="1" x14ac:dyDescent="0.25">
      <c r="B317" s="509" t="s">
        <v>204</v>
      </c>
      <c r="C317" s="504">
        <f t="shared" si="246"/>
        <v>0</v>
      </c>
      <c r="D317" s="450">
        <f t="shared" si="246"/>
        <v>0</v>
      </c>
      <c r="E317" s="450">
        <f t="shared" si="246"/>
        <v>0</v>
      </c>
      <c r="F317" s="450">
        <f t="shared" si="246"/>
        <v>0</v>
      </c>
      <c r="G317" s="450">
        <f t="shared" si="246"/>
        <v>0</v>
      </c>
      <c r="H317" s="450">
        <f t="shared" si="246"/>
        <v>0</v>
      </c>
      <c r="I317" s="450">
        <f t="shared" si="246"/>
        <v>0</v>
      </c>
      <c r="J317" s="457"/>
      <c r="K317" s="453">
        <f t="shared" si="247"/>
        <v>0</v>
      </c>
      <c r="L317" s="2"/>
    </row>
    <row r="318" spans="2:12" s="1" customFormat="1" ht="13.15" customHeight="1" x14ac:dyDescent="0.25">
      <c r="B318" s="509"/>
      <c r="C318" s="504">
        <f t="shared" si="246"/>
        <v>0</v>
      </c>
      <c r="D318" s="450">
        <f t="shared" si="246"/>
        <v>0</v>
      </c>
      <c r="E318" s="450">
        <f t="shared" si="246"/>
        <v>0</v>
      </c>
      <c r="F318" s="450">
        <f t="shared" si="246"/>
        <v>0</v>
      </c>
      <c r="G318" s="450">
        <f t="shared" si="246"/>
        <v>0</v>
      </c>
      <c r="H318" s="450">
        <f t="shared" si="246"/>
        <v>0</v>
      </c>
      <c r="I318" s="450">
        <f t="shared" si="246"/>
        <v>0</v>
      </c>
      <c r="J318" s="457"/>
      <c r="K318" s="453">
        <f t="shared" si="247"/>
        <v>0</v>
      </c>
      <c r="L318" s="2"/>
    </row>
    <row r="319" spans="2:12" s="1" customFormat="1" ht="13.15" customHeight="1" x14ac:dyDescent="0.25">
      <c r="B319" s="510" t="s">
        <v>205</v>
      </c>
      <c r="C319" s="505">
        <f t="shared" si="246"/>
        <v>1867</v>
      </c>
      <c r="D319" s="451">
        <f t="shared" si="246"/>
        <v>1537</v>
      </c>
      <c r="E319" s="451">
        <f t="shared" si="246"/>
        <v>1607</v>
      </c>
      <c r="F319" s="451">
        <f t="shared" si="246"/>
        <v>1814</v>
      </c>
      <c r="G319" s="451">
        <f t="shared" si="246"/>
        <v>1888</v>
      </c>
      <c r="H319" s="451">
        <f t="shared" si="246"/>
        <v>700</v>
      </c>
      <c r="I319" s="451">
        <f t="shared" si="246"/>
        <v>0</v>
      </c>
      <c r="J319" s="462"/>
      <c r="K319" s="453">
        <f t="shared" ref="K319:K330" si="248">SUM(C319:I319)</f>
        <v>9413</v>
      </c>
      <c r="L319" s="2"/>
    </row>
    <row r="320" spans="2:12" s="1" customFormat="1" ht="13.15" customHeight="1" x14ac:dyDescent="0.25">
      <c r="B320" s="510"/>
      <c r="C320" s="506">
        <f t="shared" si="246"/>
        <v>0</v>
      </c>
      <c r="D320" s="199">
        <f t="shared" si="246"/>
        <v>0</v>
      </c>
      <c r="E320" s="199">
        <f t="shared" si="246"/>
        <v>0</v>
      </c>
      <c r="F320" s="199">
        <f t="shared" si="246"/>
        <v>0</v>
      </c>
      <c r="G320" s="199">
        <f t="shared" si="246"/>
        <v>0</v>
      </c>
      <c r="H320" s="199">
        <f t="shared" si="246"/>
        <v>0</v>
      </c>
      <c r="I320" s="199">
        <f t="shared" si="246"/>
        <v>0</v>
      </c>
      <c r="J320" s="94"/>
      <c r="K320" s="453">
        <f t="shared" ref="K320" si="249">SUM(C320:I320)</f>
        <v>0</v>
      </c>
      <c r="L320" s="2"/>
    </row>
    <row r="321" spans="2:14" s="1" customFormat="1" ht="13.15" customHeight="1" x14ac:dyDescent="0.25">
      <c r="B321" s="510" t="s">
        <v>206</v>
      </c>
      <c r="C321" s="506">
        <f t="shared" si="246"/>
        <v>0</v>
      </c>
      <c r="D321" s="199">
        <f t="shared" si="246"/>
        <v>0</v>
      </c>
      <c r="E321" s="199">
        <f t="shared" si="246"/>
        <v>0</v>
      </c>
      <c r="F321" s="199">
        <f t="shared" si="246"/>
        <v>0</v>
      </c>
      <c r="G321" s="199">
        <f t="shared" si="246"/>
        <v>0</v>
      </c>
      <c r="H321" s="199">
        <f t="shared" si="246"/>
        <v>0</v>
      </c>
      <c r="I321" s="199">
        <f t="shared" si="246"/>
        <v>0</v>
      </c>
      <c r="J321" s="94"/>
      <c r="K321" s="453">
        <f t="shared" si="248"/>
        <v>0</v>
      </c>
      <c r="L321" s="2"/>
    </row>
    <row r="322" spans="2:14" s="1" customFormat="1" ht="13.15" customHeight="1" x14ac:dyDescent="0.25">
      <c r="B322" s="510"/>
      <c r="C322" s="506">
        <f t="shared" si="246"/>
        <v>0</v>
      </c>
      <c r="D322" s="199">
        <f t="shared" si="246"/>
        <v>0</v>
      </c>
      <c r="E322" s="199">
        <f t="shared" si="246"/>
        <v>0</v>
      </c>
      <c r="F322" s="199">
        <f t="shared" si="246"/>
        <v>0</v>
      </c>
      <c r="G322" s="199">
        <f t="shared" si="246"/>
        <v>0</v>
      </c>
      <c r="H322" s="199">
        <f t="shared" si="246"/>
        <v>0</v>
      </c>
      <c r="I322" s="199">
        <f t="shared" si="246"/>
        <v>0</v>
      </c>
      <c r="J322" s="94"/>
      <c r="K322" s="453">
        <f t="shared" ref="K322" si="250">SUM(C322:I322)</f>
        <v>0</v>
      </c>
      <c r="L322" s="2"/>
    </row>
    <row r="323" spans="2:14" s="1" customFormat="1" ht="13.15" customHeight="1" x14ac:dyDescent="0.25">
      <c r="B323" s="509" t="s">
        <v>151</v>
      </c>
      <c r="C323" s="504">
        <f>C319-C315</f>
        <v>-33</v>
      </c>
      <c r="D323" s="450">
        <f t="shared" ref="D323:I323" si="251">D319-D315</f>
        <v>-363</v>
      </c>
      <c r="E323" s="450">
        <f t="shared" si="251"/>
        <v>-293</v>
      </c>
      <c r="F323" s="450">
        <f t="shared" si="251"/>
        <v>-86</v>
      </c>
      <c r="G323" s="450">
        <f t="shared" si="251"/>
        <v>-12</v>
      </c>
      <c r="H323" s="450">
        <f t="shared" si="251"/>
        <v>0</v>
      </c>
      <c r="I323" s="450">
        <f t="shared" si="251"/>
        <v>0</v>
      </c>
      <c r="J323" s="457"/>
      <c r="K323" s="453">
        <f t="shared" si="248"/>
        <v>-787</v>
      </c>
      <c r="L323" s="2"/>
    </row>
    <row r="324" spans="2:14" s="1" customFormat="1" ht="13.15" customHeight="1" x14ac:dyDescent="0.25">
      <c r="B324" s="509"/>
      <c r="C324" s="504">
        <f t="shared" ref="C324:I326" si="252">C320-C316</f>
        <v>0</v>
      </c>
      <c r="D324" s="450">
        <f t="shared" si="252"/>
        <v>0</v>
      </c>
      <c r="E324" s="450">
        <f t="shared" si="252"/>
        <v>0</v>
      </c>
      <c r="F324" s="450">
        <f t="shared" si="252"/>
        <v>0</v>
      </c>
      <c r="G324" s="450">
        <f t="shared" si="252"/>
        <v>0</v>
      </c>
      <c r="H324" s="450">
        <f t="shared" si="252"/>
        <v>0</v>
      </c>
      <c r="I324" s="450">
        <f t="shared" si="252"/>
        <v>0</v>
      </c>
      <c r="J324" s="457"/>
      <c r="K324" s="453">
        <f t="shared" ref="K324" si="253">SUM(C324:I324)</f>
        <v>0</v>
      </c>
      <c r="L324" s="2"/>
    </row>
    <row r="325" spans="2:14" s="1" customFormat="1" ht="13.15" customHeight="1" x14ac:dyDescent="0.25">
      <c r="B325" s="509" t="s">
        <v>152</v>
      </c>
      <c r="C325" s="504">
        <f t="shared" si="252"/>
        <v>0</v>
      </c>
      <c r="D325" s="450">
        <f t="shared" si="252"/>
        <v>0</v>
      </c>
      <c r="E325" s="450">
        <f t="shared" si="252"/>
        <v>0</v>
      </c>
      <c r="F325" s="450">
        <f t="shared" si="252"/>
        <v>0</v>
      </c>
      <c r="G325" s="450">
        <f t="shared" si="252"/>
        <v>0</v>
      </c>
      <c r="H325" s="450">
        <f t="shared" si="252"/>
        <v>0</v>
      </c>
      <c r="I325" s="450">
        <f t="shared" si="252"/>
        <v>0</v>
      </c>
      <c r="J325" s="457"/>
      <c r="K325" s="453">
        <f t="shared" si="248"/>
        <v>0</v>
      </c>
      <c r="L325" s="2"/>
    </row>
    <row r="326" spans="2:14" s="1" customFormat="1" ht="13.15" customHeight="1" thickBot="1" x14ac:dyDescent="0.3">
      <c r="B326" s="511"/>
      <c r="C326" s="507">
        <f t="shared" si="252"/>
        <v>0</v>
      </c>
      <c r="D326" s="458">
        <f t="shared" si="252"/>
        <v>0</v>
      </c>
      <c r="E326" s="458">
        <f t="shared" si="252"/>
        <v>0</v>
      </c>
      <c r="F326" s="458">
        <f t="shared" si="252"/>
        <v>0</v>
      </c>
      <c r="G326" s="458">
        <f t="shared" si="252"/>
        <v>0</v>
      </c>
      <c r="H326" s="458">
        <f t="shared" si="252"/>
        <v>0</v>
      </c>
      <c r="I326" s="458">
        <f t="shared" si="252"/>
        <v>0</v>
      </c>
      <c r="J326" s="459"/>
      <c r="K326" s="460">
        <f t="shared" ref="K326" si="254">SUM(C326:I326)</f>
        <v>0</v>
      </c>
      <c r="L326" s="2"/>
    </row>
    <row r="327" spans="2:14" s="114" customFormat="1" ht="3" customHeight="1" thickBot="1" x14ac:dyDescent="0.35">
      <c r="B327" s="115"/>
      <c r="C327" s="116"/>
      <c r="D327" s="117"/>
      <c r="E327" s="117"/>
      <c r="G327" s="115"/>
      <c r="H327" s="115"/>
      <c r="I327" s="116"/>
      <c r="J327" s="117"/>
      <c r="K327" s="117"/>
      <c r="L327" s="118"/>
      <c r="M327" s="122"/>
      <c r="N327" s="123"/>
    </row>
    <row r="328" spans="2:14" s="1" customFormat="1" ht="13.15" customHeight="1" x14ac:dyDescent="0.25">
      <c r="B328" s="466" t="s">
        <v>30</v>
      </c>
      <c r="C328" s="467">
        <f>C315+C316+C318+C317</f>
        <v>1900</v>
      </c>
      <c r="D328" s="467">
        <f t="shared" ref="D328:I328" si="255">D315+D316+D318+D317</f>
        <v>1900</v>
      </c>
      <c r="E328" s="467">
        <f t="shared" si="255"/>
        <v>1900</v>
      </c>
      <c r="F328" s="467">
        <f t="shared" si="255"/>
        <v>1900</v>
      </c>
      <c r="G328" s="467">
        <f t="shared" si="255"/>
        <v>1900</v>
      </c>
      <c r="H328" s="467">
        <f t="shared" si="255"/>
        <v>700</v>
      </c>
      <c r="I328" s="467">
        <f t="shared" si="255"/>
        <v>0</v>
      </c>
      <c r="J328" s="443"/>
      <c r="K328" s="392">
        <f t="shared" si="248"/>
        <v>10200</v>
      </c>
      <c r="L328" s="2"/>
    </row>
    <row r="329" spans="2:14" s="1" customFormat="1" ht="13.15" customHeight="1" x14ac:dyDescent="0.25">
      <c r="B329" s="273" t="s">
        <v>31</v>
      </c>
      <c r="C329" s="463">
        <f>C319+C320+C322+C321</f>
        <v>1867</v>
      </c>
      <c r="D329" s="463">
        <f t="shared" ref="D329:I329" si="256">D319+D320+D322+D321</f>
        <v>1537</v>
      </c>
      <c r="E329" s="463">
        <f t="shared" si="256"/>
        <v>1607</v>
      </c>
      <c r="F329" s="463">
        <f t="shared" si="256"/>
        <v>1814</v>
      </c>
      <c r="G329" s="463">
        <f t="shared" si="256"/>
        <v>1888</v>
      </c>
      <c r="H329" s="463">
        <f t="shared" si="256"/>
        <v>700</v>
      </c>
      <c r="I329" s="463">
        <f t="shared" si="256"/>
        <v>0</v>
      </c>
      <c r="J329" s="445"/>
      <c r="K329" s="461">
        <f t="shared" si="248"/>
        <v>9413</v>
      </c>
      <c r="L329" s="2"/>
    </row>
    <row r="330" spans="2:14" s="1" customFormat="1" ht="13.15" customHeight="1" thickBot="1" x14ac:dyDescent="0.3">
      <c r="B330" s="468" t="s">
        <v>32</v>
      </c>
      <c r="C330" s="464">
        <f>C329-C328</f>
        <v>-33</v>
      </c>
      <c r="D330" s="464">
        <f t="shared" ref="D330:I330" si="257">D329-D328</f>
        <v>-363</v>
      </c>
      <c r="E330" s="464">
        <f t="shared" si="257"/>
        <v>-293</v>
      </c>
      <c r="F330" s="464">
        <f t="shared" si="257"/>
        <v>-86</v>
      </c>
      <c r="G330" s="464">
        <f t="shared" si="257"/>
        <v>-12</v>
      </c>
      <c r="H330" s="464">
        <f t="shared" si="257"/>
        <v>0</v>
      </c>
      <c r="I330" s="464">
        <f t="shared" si="257"/>
        <v>0</v>
      </c>
      <c r="J330" s="465"/>
      <c r="K330" s="393">
        <f t="shared" si="248"/>
        <v>-787</v>
      </c>
      <c r="L330" s="2"/>
    </row>
    <row r="331" spans="2:14" s="114" customFormat="1" ht="3" customHeight="1" thickBot="1" x14ac:dyDescent="0.35">
      <c r="B331" s="115"/>
      <c r="C331" s="116"/>
      <c r="D331" s="117"/>
      <c r="E331" s="117"/>
      <c r="G331" s="115"/>
      <c r="H331" s="115"/>
      <c r="I331" s="116"/>
      <c r="J331" s="117"/>
      <c r="K331" s="117"/>
      <c r="L331" s="118"/>
      <c r="M331" s="122"/>
      <c r="N331" s="123"/>
    </row>
    <row r="332" spans="2:14" s="1" customFormat="1" ht="13.15" customHeight="1" thickBot="1" x14ac:dyDescent="0.3">
      <c r="B332" s="236" t="s">
        <v>74</v>
      </c>
      <c r="C332" s="237"/>
      <c r="D332" s="237"/>
      <c r="E332" s="237"/>
      <c r="F332" s="237"/>
      <c r="G332" s="237"/>
      <c r="H332" s="237"/>
      <c r="I332" s="237"/>
      <c r="J332" s="237"/>
      <c r="K332" s="238"/>
      <c r="L332" s="2"/>
    </row>
    <row r="333" spans="2:14" s="1" customFormat="1" ht="13.15" customHeight="1" x14ac:dyDescent="0.25">
      <c r="B333" s="231" t="s">
        <v>27</v>
      </c>
      <c r="C333" s="232">
        <v>675</v>
      </c>
      <c r="D333" s="233">
        <f t="shared" ref="D333:I333" si="258">C334</f>
        <v>517</v>
      </c>
      <c r="E333" s="233">
        <f t="shared" si="258"/>
        <v>657</v>
      </c>
      <c r="F333" s="233">
        <f t="shared" si="258"/>
        <v>618</v>
      </c>
      <c r="G333" s="233">
        <f t="shared" si="258"/>
        <v>518</v>
      </c>
      <c r="H333" s="233">
        <f t="shared" si="258"/>
        <v>559</v>
      </c>
      <c r="I333" s="234">
        <f t="shared" si="258"/>
        <v>427</v>
      </c>
      <c r="J333" s="235"/>
      <c r="K333" s="147">
        <f t="shared" ref="K333:K339" si="259">SUM(C333:I333)</f>
        <v>3971</v>
      </c>
      <c r="L333" s="2"/>
    </row>
    <row r="334" spans="2:14" s="1" customFormat="1" ht="13.15" customHeight="1" thickBot="1" x14ac:dyDescent="0.3">
      <c r="B334" s="148" t="s">
        <v>28</v>
      </c>
      <c r="C334" s="145">
        <v>517</v>
      </c>
      <c r="D334" s="160">
        <v>657</v>
      </c>
      <c r="E334" s="160">
        <v>618</v>
      </c>
      <c r="F334" s="160">
        <v>518</v>
      </c>
      <c r="G334" s="160">
        <v>559</v>
      </c>
      <c r="H334" s="160">
        <v>427</v>
      </c>
      <c r="I334" s="160">
        <v>427</v>
      </c>
      <c r="J334" s="146"/>
      <c r="K334" s="147">
        <f t="shared" si="259"/>
        <v>3723</v>
      </c>
      <c r="L334" s="2"/>
    </row>
    <row r="335" spans="2:14" s="1" customFormat="1" ht="12.95" customHeight="1" x14ac:dyDescent="0.25">
      <c r="B335" s="119" t="s">
        <v>67</v>
      </c>
      <c r="C335" s="164">
        <f t="shared" ref="C335:I335" si="260">_xlfn.CEILING.MATH((C328*0.651*5)/C82)</f>
        <v>6872</v>
      </c>
      <c r="D335" s="164">
        <f t="shared" si="260"/>
        <v>6872</v>
      </c>
      <c r="E335" s="164">
        <f t="shared" si="260"/>
        <v>6872</v>
      </c>
      <c r="F335" s="164">
        <f t="shared" si="260"/>
        <v>6872</v>
      </c>
      <c r="G335" s="164">
        <f t="shared" si="260"/>
        <v>6872</v>
      </c>
      <c r="H335" s="164">
        <f t="shared" si="260"/>
        <v>2532</v>
      </c>
      <c r="I335" s="164">
        <f t="shared" si="260"/>
        <v>0</v>
      </c>
      <c r="J335" s="165"/>
      <c r="K335" s="166">
        <f>SUM(C335:I335)</f>
        <v>36892</v>
      </c>
      <c r="L335" s="2"/>
    </row>
    <row r="336" spans="2:14" s="1" customFormat="1" ht="12.95" customHeight="1" x14ac:dyDescent="0.25">
      <c r="B336" s="300" t="s">
        <v>68</v>
      </c>
      <c r="C336" s="51">
        <f>_xlfn.CEILING.MATH(((C329*0.651*5))+(((C334-C333)*4300*0.651/1000)))</f>
        <v>5635</v>
      </c>
      <c r="D336" s="51">
        <f t="shared" ref="D336:I336" si="261">_xlfn.CEILING.MATH(((D329*0.651*5))+(((D334-D333)*4300*0.651/1000)))</f>
        <v>5395</v>
      </c>
      <c r="E336" s="51">
        <f t="shared" si="261"/>
        <v>5122</v>
      </c>
      <c r="F336" s="51">
        <f t="shared" si="261"/>
        <v>5625</v>
      </c>
      <c r="G336" s="51">
        <f t="shared" si="261"/>
        <v>6261</v>
      </c>
      <c r="H336" s="51">
        <f t="shared" si="261"/>
        <v>1909</v>
      </c>
      <c r="I336" s="51">
        <f t="shared" si="261"/>
        <v>0</v>
      </c>
      <c r="J336" s="83"/>
      <c r="K336" s="299">
        <f>SUM(C336:I336)</f>
        <v>29947</v>
      </c>
      <c r="L336" s="2"/>
    </row>
    <row r="337" spans="2:12" s="1" customFormat="1" ht="13.15" customHeight="1" x14ac:dyDescent="0.25">
      <c r="B337" s="149" t="s">
        <v>73</v>
      </c>
      <c r="C337" s="125">
        <v>0</v>
      </c>
      <c r="D337" s="161">
        <v>0</v>
      </c>
      <c r="E337" s="161">
        <v>0</v>
      </c>
      <c r="F337" s="125">
        <v>0</v>
      </c>
      <c r="G337" s="125">
        <v>0</v>
      </c>
      <c r="H337" s="125">
        <v>0</v>
      </c>
      <c r="I337" s="125">
        <v>0</v>
      </c>
      <c r="J337" s="126"/>
      <c r="K337" s="301">
        <f t="shared" si="259"/>
        <v>0</v>
      </c>
      <c r="L337" s="2"/>
    </row>
    <row r="338" spans="2:12" s="1" customFormat="1" ht="13.15" customHeight="1" x14ac:dyDescent="0.25">
      <c r="B338" s="149" t="s">
        <v>91</v>
      </c>
      <c r="C338" s="125">
        <v>0</v>
      </c>
      <c r="D338" s="161">
        <v>0</v>
      </c>
      <c r="E338" s="161">
        <v>0</v>
      </c>
      <c r="F338" s="125">
        <v>0</v>
      </c>
      <c r="G338" s="125">
        <v>0</v>
      </c>
      <c r="H338" s="125">
        <v>0</v>
      </c>
      <c r="I338" s="125">
        <v>0</v>
      </c>
      <c r="J338" s="126"/>
      <c r="K338" s="301">
        <f t="shared" si="259"/>
        <v>0</v>
      </c>
      <c r="L338" s="2"/>
    </row>
    <row r="339" spans="2:12" s="1" customFormat="1" ht="13.15" customHeight="1" x14ac:dyDescent="0.25">
      <c r="B339" s="298" t="s">
        <v>75</v>
      </c>
      <c r="C339" s="125">
        <v>64</v>
      </c>
      <c r="D339" s="161">
        <v>56</v>
      </c>
      <c r="E339" s="161">
        <v>57</v>
      </c>
      <c r="F339" s="125">
        <v>61</v>
      </c>
      <c r="G339" s="125">
        <v>64</v>
      </c>
      <c r="H339" s="125">
        <v>20</v>
      </c>
      <c r="I339" s="125">
        <v>0</v>
      </c>
      <c r="J339" s="126"/>
      <c r="K339" s="301">
        <f t="shared" si="259"/>
        <v>322</v>
      </c>
      <c r="L339" s="2"/>
    </row>
    <row r="340" spans="2:12" s="1" customFormat="1" ht="13.15" customHeight="1" thickBot="1" x14ac:dyDescent="0.3">
      <c r="B340" s="302" t="s">
        <v>69</v>
      </c>
      <c r="C340" s="303">
        <f>(C337*110)+(C338*110)+(C339*100)</f>
        <v>6400</v>
      </c>
      <c r="D340" s="304">
        <f t="shared" ref="D340:I340" si="262">(D337*110)+(D338*110)+(D339*100)</f>
        <v>5600</v>
      </c>
      <c r="E340" s="304">
        <f t="shared" si="262"/>
        <v>5700</v>
      </c>
      <c r="F340" s="303">
        <f t="shared" si="262"/>
        <v>6100</v>
      </c>
      <c r="G340" s="303">
        <f t="shared" si="262"/>
        <v>6400</v>
      </c>
      <c r="H340" s="303">
        <f t="shared" si="262"/>
        <v>2000</v>
      </c>
      <c r="I340" s="303">
        <f t="shared" si="262"/>
        <v>0</v>
      </c>
      <c r="J340" s="305"/>
      <c r="K340" s="306">
        <f>SUM(C340:I340)</f>
        <v>32200</v>
      </c>
      <c r="L340" s="2"/>
    </row>
    <row r="341" spans="2:12" s="1" customFormat="1" ht="13.15" customHeight="1" x14ac:dyDescent="0.25">
      <c r="B341" s="226" t="s">
        <v>70</v>
      </c>
      <c r="C341" s="307">
        <f t="shared" ref="C341:I341" si="263">C340-C336</f>
        <v>765</v>
      </c>
      <c r="D341" s="307">
        <f t="shared" si="263"/>
        <v>205</v>
      </c>
      <c r="E341" s="307">
        <f t="shared" si="263"/>
        <v>578</v>
      </c>
      <c r="F341" s="307">
        <f t="shared" si="263"/>
        <v>475</v>
      </c>
      <c r="G341" s="307">
        <f t="shared" si="263"/>
        <v>139</v>
      </c>
      <c r="H341" s="307">
        <f t="shared" si="263"/>
        <v>91</v>
      </c>
      <c r="I341" s="307">
        <f t="shared" si="263"/>
        <v>0</v>
      </c>
      <c r="J341" s="307"/>
      <c r="K341" s="308">
        <f>K340-K336</f>
        <v>2253</v>
      </c>
      <c r="L341" s="2"/>
    </row>
    <row r="342" spans="2:12" s="1" customFormat="1" ht="13.15" customHeight="1" thickBot="1" x14ac:dyDescent="0.3">
      <c r="B342" s="293" t="s">
        <v>71</v>
      </c>
      <c r="C342" s="312">
        <f t="shared" ref="C342:I342" si="264">IFERROR(C341/C336,"-")</f>
        <v>0.13575865128660158</v>
      </c>
      <c r="D342" s="312">
        <f t="shared" si="264"/>
        <v>3.7998146431881374E-2</v>
      </c>
      <c r="E342" s="312">
        <f t="shared" si="264"/>
        <v>0.11284654431862554</v>
      </c>
      <c r="F342" s="312">
        <f t="shared" si="264"/>
        <v>8.4444444444444447E-2</v>
      </c>
      <c r="G342" s="312">
        <f t="shared" si="264"/>
        <v>2.2200926369589521E-2</v>
      </c>
      <c r="H342" s="312">
        <f t="shared" si="264"/>
        <v>4.7668936616029334E-2</v>
      </c>
      <c r="I342" s="312" t="str">
        <f t="shared" si="264"/>
        <v>-</v>
      </c>
      <c r="J342" s="309"/>
      <c r="K342" s="311">
        <f>IFERROR(K341/K336,"-")</f>
        <v>7.5232911476942596E-2</v>
      </c>
      <c r="L342" s="2"/>
    </row>
    <row r="343" spans="2:12" s="1" customFormat="1" ht="13.15" customHeight="1" thickBot="1" x14ac:dyDescent="0.3">
      <c r="B343" s="313" t="s">
        <v>90</v>
      </c>
      <c r="C343" s="1058"/>
      <c r="D343" s="1059"/>
      <c r="E343" s="1059"/>
      <c r="F343" s="1059"/>
      <c r="G343" s="1059"/>
      <c r="H343" s="1059"/>
      <c r="I343" s="1059"/>
      <c r="J343" s="1060"/>
      <c r="K343" s="314">
        <f>IFERROR(1-K342,"-")</f>
        <v>0.92476708852305745</v>
      </c>
      <c r="L343" s="2"/>
    </row>
    <row r="344" spans="2:12" s="1" customFormat="1" ht="13.15" customHeight="1" x14ac:dyDescent="0.25">
      <c r="B344" s="276" t="s">
        <v>44</v>
      </c>
      <c r="C344" s="277">
        <f t="shared" ref="C344:I344" si="265">_xlfn.CEILING.MATH(((C329*5000/6))+(((C334-C333)*4300/6)))</f>
        <v>1442600</v>
      </c>
      <c r="D344" s="277">
        <f t="shared" si="265"/>
        <v>1381167</v>
      </c>
      <c r="E344" s="277">
        <f t="shared" si="265"/>
        <v>1311217</v>
      </c>
      <c r="F344" s="277">
        <f t="shared" si="265"/>
        <v>1440000</v>
      </c>
      <c r="G344" s="277">
        <f t="shared" si="265"/>
        <v>1602717</v>
      </c>
      <c r="H344" s="277">
        <f t="shared" si="265"/>
        <v>488734</v>
      </c>
      <c r="I344" s="277">
        <f t="shared" si="265"/>
        <v>0</v>
      </c>
      <c r="J344" s="278"/>
      <c r="K344" s="279">
        <f>SUM(C344:I344)</f>
        <v>7666435</v>
      </c>
      <c r="L344" s="2"/>
    </row>
    <row r="345" spans="2:12" s="1" customFormat="1" ht="13.15" customHeight="1" x14ac:dyDescent="0.25">
      <c r="B345" s="150" t="s">
        <v>45</v>
      </c>
      <c r="C345" s="127">
        <v>67</v>
      </c>
      <c r="D345" s="127">
        <v>63</v>
      </c>
      <c r="E345" s="127">
        <v>60</v>
      </c>
      <c r="F345" s="162">
        <v>68</v>
      </c>
      <c r="G345" s="162">
        <v>75</v>
      </c>
      <c r="H345" s="162">
        <v>20</v>
      </c>
      <c r="I345" s="127">
        <v>0</v>
      </c>
      <c r="J345" s="128"/>
      <c r="K345" s="271">
        <f t="shared" ref="K345:K346" si="266">SUM(C345:I345)</f>
        <v>353</v>
      </c>
      <c r="L345" s="2"/>
    </row>
    <row r="346" spans="2:12" s="1" customFormat="1" ht="13.15" customHeight="1" x14ac:dyDescent="0.25">
      <c r="B346" s="270" t="s">
        <v>46</v>
      </c>
      <c r="C346" s="127">
        <v>0</v>
      </c>
      <c r="D346" s="127">
        <v>0</v>
      </c>
      <c r="E346" s="127">
        <v>0</v>
      </c>
      <c r="F346" s="162">
        <v>0</v>
      </c>
      <c r="G346" s="162">
        <v>0</v>
      </c>
      <c r="H346" s="162">
        <v>0</v>
      </c>
      <c r="I346" s="127">
        <v>0</v>
      </c>
      <c r="J346" s="128"/>
      <c r="K346" s="272">
        <f t="shared" si="266"/>
        <v>0</v>
      </c>
      <c r="L346" s="2"/>
    </row>
    <row r="347" spans="2:12" s="1" customFormat="1" ht="13.15" customHeight="1" x14ac:dyDescent="0.25">
      <c r="B347" s="273" t="s">
        <v>47</v>
      </c>
      <c r="C347" s="274">
        <f>(C345*5*4500)+(C346*5*4660)</f>
        <v>1507500</v>
      </c>
      <c r="D347" s="274">
        <f t="shared" ref="D347:I347" si="267">(D345*5*4500)+(D346*5*4660)</f>
        <v>1417500</v>
      </c>
      <c r="E347" s="274">
        <f t="shared" si="267"/>
        <v>1350000</v>
      </c>
      <c r="F347" s="274">
        <f t="shared" si="267"/>
        <v>1530000</v>
      </c>
      <c r="G347" s="274">
        <f t="shared" si="267"/>
        <v>1687500</v>
      </c>
      <c r="H347" s="274">
        <f t="shared" si="267"/>
        <v>450000</v>
      </c>
      <c r="I347" s="274">
        <f t="shared" si="267"/>
        <v>0</v>
      </c>
      <c r="J347" s="275"/>
      <c r="K347" s="279">
        <f>SUM(C347:I347)</f>
        <v>7942500</v>
      </c>
      <c r="L347" s="2"/>
    </row>
    <row r="348" spans="2:12" s="1" customFormat="1" ht="13.15" customHeight="1" thickBot="1" x14ac:dyDescent="0.3">
      <c r="B348" s="120" t="s">
        <v>48</v>
      </c>
      <c r="C348" s="280">
        <f>IFERROR((C347-C344)/C344,"-")</f>
        <v>4.4988215721613753E-2</v>
      </c>
      <c r="D348" s="280">
        <f t="shared" ref="D348:K348" si="268">IFERROR((D347-D344)/D344,"-")</f>
        <v>2.6306015130682966E-2</v>
      </c>
      <c r="E348" s="280">
        <f t="shared" si="268"/>
        <v>2.9577865448663341E-2</v>
      </c>
      <c r="F348" s="280">
        <f t="shared" si="268"/>
        <v>6.25E-2</v>
      </c>
      <c r="G348" s="280">
        <f t="shared" si="268"/>
        <v>5.2899544960214435E-2</v>
      </c>
      <c r="H348" s="280">
        <f t="shared" si="268"/>
        <v>-7.9253745391153471E-2</v>
      </c>
      <c r="I348" s="280" t="str">
        <f t="shared" si="268"/>
        <v>-</v>
      </c>
      <c r="J348" s="121"/>
      <c r="K348" s="281">
        <f t="shared" si="268"/>
        <v>3.6009566376027452E-2</v>
      </c>
      <c r="L348" s="2"/>
    </row>
    <row r="349" spans="2:12" s="1" customFormat="1" ht="13.15" customHeight="1" x14ac:dyDescent="0.25">
      <c r="C349" s="56"/>
      <c r="D349" s="56"/>
      <c r="E349" s="56"/>
      <c r="F349" s="56"/>
      <c r="G349" s="56"/>
      <c r="H349" s="56"/>
      <c r="I349" s="56"/>
      <c r="J349" s="56"/>
      <c r="K349" s="56"/>
      <c r="L349" s="2"/>
    </row>
    <row r="350" spans="2:12" s="1" customFormat="1" ht="13.15" customHeight="1" thickBot="1" x14ac:dyDescent="0.3">
      <c r="B350" s="394" t="s">
        <v>81</v>
      </c>
      <c r="C350" s="50">
        <f t="shared" ref="C350:K350" si="269">C8</f>
        <v>46062</v>
      </c>
      <c r="D350" s="50">
        <f t="shared" si="269"/>
        <v>46063</v>
      </c>
      <c r="E350" s="50">
        <f t="shared" si="269"/>
        <v>46064</v>
      </c>
      <c r="F350" s="50">
        <f t="shared" si="269"/>
        <v>46065</v>
      </c>
      <c r="G350" s="50">
        <f t="shared" si="269"/>
        <v>46066</v>
      </c>
      <c r="H350" s="50">
        <f t="shared" si="269"/>
        <v>46067</v>
      </c>
      <c r="I350" s="50">
        <f t="shared" si="269"/>
        <v>46068</v>
      </c>
      <c r="J350" s="50">
        <f t="shared" si="269"/>
        <v>46069</v>
      </c>
      <c r="K350" s="50" t="str">
        <f t="shared" si="269"/>
        <v>T Semanal</v>
      </c>
      <c r="L350" s="2"/>
    </row>
    <row r="351" spans="2:12" s="1" customFormat="1" ht="13.15" customHeight="1" x14ac:dyDescent="0.25">
      <c r="B351" s="414" t="s">
        <v>78</v>
      </c>
      <c r="C351" s="436">
        <f t="shared" ref="C351:J351" si="270">C86</f>
        <v>0</v>
      </c>
      <c r="D351" s="204">
        <f t="shared" si="270"/>
        <v>0</v>
      </c>
      <c r="E351" s="204">
        <f t="shared" si="270"/>
        <v>0</v>
      </c>
      <c r="F351" s="204">
        <f t="shared" si="270"/>
        <v>0</v>
      </c>
      <c r="G351" s="204">
        <f t="shared" si="270"/>
        <v>0</v>
      </c>
      <c r="H351" s="204">
        <f t="shared" si="270"/>
        <v>0</v>
      </c>
      <c r="I351" s="204">
        <f t="shared" si="270"/>
        <v>0</v>
      </c>
      <c r="J351" s="429">
        <f t="shared" si="270"/>
        <v>0</v>
      </c>
      <c r="K351" s="426">
        <f>SUM(C351:J351)</f>
        <v>0</v>
      </c>
      <c r="L351" s="2"/>
    </row>
    <row r="352" spans="2:12" s="1" customFormat="1" ht="13.15" customHeight="1" x14ac:dyDescent="0.25">
      <c r="B352" s="409" t="s">
        <v>79</v>
      </c>
      <c r="C352" s="437">
        <v>0</v>
      </c>
      <c r="D352" s="439">
        <v>0</v>
      </c>
      <c r="E352" s="439">
        <v>0</v>
      </c>
      <c r="F352" s="439">
        <v>0</v>
      </c>
      <c r="G352" s="439">
        <v>0</v>
      </c>
      <c r="H352" s="439">
        <v>0</v>
      </c>
      <c r="I352" s="439">
        <v>0</v>
      </c>
      <c r="J352" s="430">
        <v>0</v>
      </c>
      <c r="K352" s="427">
        <f>SUM(C352:J352)</f>
        <v>0</v>
      </c>
      <c r="L352" s="2"/>
    </row>
    <row r="353" spans="2:14" s="1" customFormat="1" ht="13.15" customHeight="1" thickBot="1" x14ac:dyDescent="0.3">
      <c r="B353" s="410" t="s">
        <v>80</v>
      </c>
      <c r="C353" s="438">
        <f>C352-C351</f>
        <v>0</v>
      </c>
      <c r="D353" s="336">
        <f t="shared" ref="D353:J353" si="271">D352-D351</f>
        <v>0</v>
      </c>
      <c r="E353" s="336">
        <f t="shared" si="271"/>
        <v>0</v>
      </c>
      <c r="F353" s="336">
        <f t="shared" si="271"/>
        <v>0</v>
      </c>
      <c r="G353" s="336">
        <f t="shared" si="271"/>
        <v>0</v>
      </c>
      <c r="H353" s="336">
        <f t="shared" si="271"/>
        <v>0</v>
      </c>
      <c r="I353" s="336">
        <f t="shared" si="271"/>
        <v>0</v>
      </c>
      <c r="J353" s="431">
        <f t="shared" si="271"/>
        <v>0</v>
      </c>
      <c r="K353" s="428">
        <f>SUM(C353:J353)</f>
        <v>0</v>
      </c>
      <c r="L353" s="2"/>
    </row>
    <row r="354" spans="2:14" s="114" customFormat="1" ht="3" customHeight="1" thickBot="1" x14ac:dyDescent="0.35">
      <c r="B354" s="115"/>
      <c r="C354" s="116"/>
      <c r="D354" s="117"/>
      <c r="E354" s="117"/>
      <c r="G354" s="115"/>
      <c r="H354" s="115"/>
      <c r="I354" s="116"/>
      <c r="J354" s="117"/>
      <c r="K354" s="117"/>
      <c r="L354" s="118"/>
      <c r="M354" s="113"/>
      <c r="N354" s="73"/>
    </row>
    <row r="355" spans="2:14" s="1" customFormat="1" ht="13.15" customHeight="1" x14ac:dyDescent="0.25">
      <c r="B355" s="413" t="s">
        <v>103</v>
      </c>
      <c r="C355" s="436">
        <f t="shared" ref="C355:J355" si="272">C87</f>
        <v>0</v>
      </c>
      <c r="D355" s="204">
        <f t="shared" si="272"/>
        <v>0</v>
      </c>
      <c r="E355" s="204">
        <f t="shared" si="272"/>
        <v>0</v>
      </c>
      <c r="F355" s="204">
        <f t="shared" si="272"/>
        <v>0</v>
      </c>
      <c r="G355" s="204">
        <f t="shared" si="272"/>
        <v>0</v>
      </c>
      <c r="H355" s="204">
        <f t="shared" si="272"/>
        <v>0</v>
      </c>
      <c r="I355" s="204">
        <f t="shared" si="272"/>
        <v>0</v>
      </c>
      <c r="J355" s="429">
        <f t="shared" si="272"/>
        <v>0</v>
      </c>
      <c r="K355" s="432">
        <f>SUM(C355:J355)</f>
        <v>0</v>
      </c>
      <c r="L355" s="2"/>
    </row>
    <row r="356" spans="2:14" s="1" customFormat="1" ht="13.15" customHeight="1" x14ac:dyDescent="0.25">
      <c r="B356" s="411" t="s">
        <v>104</v>
      </c>
      <c r="C356" s="440">
        <v>48</v>
      </c>
      <c r="D356" s="441">
        <v>54</v>
      </c>
      <c r="E356" s="441">
        <v>61</v>
      </c>
      <c r="F356" s="441">
        <v>36</v>
      </c>
      <c r="G356" s="441">
        <v>60</v>
      </c>
      <c r="H356" s="441">
        <v>0</v>
      </c>
      <c r="I356" s="441">
        <v>0</v>
      </c>
      <c r="J356" s="435">
        <v>0</v>
      </c>
      <c r="K356" s="433">
        <f>SUM(C356:J356)</f>
        <v>259</v>
      </c>
      <c r="L356" s="2"/>
    </row>
    <row r="357" spans="2:14" s="1" customFormat="1" ht="13.15" customHeight="1" thickBot="1" x14ac:dyDescent="0.3">
      <c r="B357" s="412" t="s">
        <v>105</v>
      </c>
      <c r="C357" s="438">
        <f>C356-C355</f>
        <v>48</v>
      </c>
      <c r="D357" s="336">
        <f t="shared" ref="D357:J357" si="273">D356-D355</f>
        <v>54</v>
      </c>
      <c r="E357" s="336">
        <f t="shared" si="273"/>
        <v>61</v>
      </c>
      <c r="F357" s="336">
        <f t="shared" si="273"/>
        <v>36</v>
      </c>
      <c r="G357" s="336">
        <f t="shared" si="273"/>
        <v>60</v>
      </c>
      <c r="H357" s="336">
        <f t="shared" si="273"/>
        <v>0</v>
      </c>
      <c r="I357" s="336">
        <f t="shared" si="273"/>
        <v>0</v>
      </c>
      <c r="J357" s="431">
        <f t="shared" si="273"/>
        <v>0</v>
      </c>
      <c r="K357" s="434">
        <f>SUM(C357:J357)</f>
        <v>259</v>
      </c>
      <c r="L357" s="2"/>
    </row>
    <row r="358" spans="2:14" s="114" customFormat="1" ht="3" customHeight="1" thickBot="1" x14ac:dyDescent="0.35">
      <c r="B358" s="115"/>
      <c r="C358" s="116"/>
      <c r="D358" s="117"/>
      <c r="E358" s="117"/>
      <c r="G358" s="115"/>
      <c r="H358" s="115"/>
      <c r="I358" s="116"/>
      <c r="J358" s="117"/>
      <c r="K358" s="117"/>
      <c r="L358" s="118"/>
      <c r="M358" s="122"/>
      <c r="N358" s="123"/>
    </row>
    <row r="359" spans="2:14" s="1" customFormat="1" ht="13.15" customHeight="1" x14ac:dyDescent="0.25">
      <c r="B359" s="512" t="s">
        <v>114</v>
      </c>
      <c r="C359" s="436">
        <f t="shared" ref="C359:J359" si="274">C88</f>
        <v>0</v>
      </c>
      <c r="D359" s="204">
        <f t="shared" si="274"/>
        <v>0</v>
      </c>
      <c r="E359" s="204">
        <f t="shared" si="274"/>
        <v>0</v>
      </c>
      <c r="F359" s="204">
        <f t="shared" si="274"/>
        <v>0</v>
      </c>
      <c r="G359" s="204">
        <f t="shared" si="274"/>
        <v>0</v>
      </c>
      <c r="H359" s="204">
        <f t="shared" si="274"/>
        <v>0</v>
      </c>
      <c r="I359" s="204">
        <f t="shared" si="274"/>
        <v>0</v>
      </c>
      <c r="J359" s="429">
        <f t="shared" si="274"/>
        <v>0</v>
      </c>
      <c r="K359" s="519">
        <f>SUM(C359:J359)</f>
        <v>0</v>
      </c>
      <c r="L359" s="2"/>
    </row>
    <row r="360" spans="2:14" s="1" customFormat="1" ht="13.15" customHeight="1" x14ac:dyDescent="0.25">
      <c r="B360" s="513" t="s">
        <v>115</v>
      </c>
      <c r="C360" s="515">
        <v>0</v>
      </c>
      <c r="D360" s="516">
        <v>0</v>
      </c>
      <c r="E360" s="516">
        <v>0</v>
      </c>
      <c r="F360" s="516">
        <v>0</v>
      </c>
      <c r="G360" s="516">
        <v>0</v>
      </c>
      <c r="H360" s="516">
        <v>0</v>
      </c>
      <c r="I360" s="516">
        <v>0</v>
      </c>
      <c r="J360" s="517">
        <v>0</v>
      </c>
      <c r="K360" s="518">
        <f>SUM(C360:J360)</f>
        <v>0</v>
      </c>
      <c r="L360" s="2"/>
    </row>
    <row r="361" spans="2:14" s="1" customFormat="1" ht="13.15" customHeight="1" thickBot="1" x14ac:dyDescent="0.3">
      <c r="B361" s="514" t="s">
        <v>116</v>
      </c>
      <c r="C361" s="438">
        <f>C360-C359</f>
        <v>0</v>
      </c>
      <c r="D361" s="336">
        <f t="shared" ref="D361:J361" si="275">D360-D359</f>
        <v>0</v>
      </c>
      <c r="E361" s="336">
        <f t="shared" si="275"/>
        <v>0</v>
      </c>
      <c r="F361" s="336">
        <f t="shared" si="275"/>
        <v>0</v>
      </c>
      <c r="G361" s="336">
        <f t="shared" si="275"/>
        <v>0</v>
      </c>
      <c r="H361" s="336">
        <f t="shared" si="275"/>
        <v>0</v>
      </c>
      <c r="I361" s="336">
        <f t="shared" si="275"/>
        <v>0</v>
      </c>
      <c r="J361" s="431">
        <f t="shared" si="275"/>
        <v>0</v>
      </c>
      <c r="K361" s="520">
        <f>SUM(C361:J361)</f>
        <v>0</v>
      </c>
      <c r="L361" s="2"/>
    </row>
    <row r="362" spans="2:14" s="114" customFormat="1" ht="3" customHeight="1" thickBot="1" x14ac:dyDescent="0.35">
      <c r="B362" s="115"/>
      <c r="C362" s="116"/>
      <c r="D362" s="117"/>
      <c r="E362" s="117"/>
      <c r="G362" s="115"/>
      <c r="H362" s="115"/>
      <c r="I362" s="116"/>
      <c r="J362" s="117"/>
      <c r="K362" s="117"/>
      <c r="L362" s="118"/>
      <c r="M362" s="122"/>
      <c r="N362" s="123"/>
    </row>
    <row r="363" spans="2:14" s="1" customFormat="1" ht="13.15" customHeight="1" x14ac:dyDescent="0.25">
      <c r="B363" s="533" t="s">
        <v>92</v>
      </c>
      <c r="C363" s="436">
        <f t="shared" ref="C363:J363" si="276">C89</f>
        <v>0</v>
      </c>
      <c r="D363" s="204">
        <f t="shared" si="276"/>
        <v>0</v>
      </c>
      <c r="E363" s="204">
        <f t="shared" si="276"/>
        <v>0</v>
      </c>
      <c r="F363" s="204">
        <f t="shared" si="276"/>
        <v>0</v>
      </c>
      <c r="G363" s="204">
        <f t="shared" si="276"/>
        <v>0</v>
      </c>
      <c r="H363" s="204">
        <f t="shared" si="276"/>
        <v>0</v>
      </c>
      <c r="I363" s="204">
        <f t="shared" si="276"/>
        <v>0</v>
      </c>
      <c r="J363" s="429">
        <f t="shared" si="276"/>
        <v>0</v>
      </c>
      <c r="K363" s="539">
        <f t="shared" ref="K363:K368" si="277">SUM(C363:J363)</f>
        <v>0</v>
      </c>
      <c r="L363" s="2"/>
    </row>
    <row r="364" spans="2:14" s="1" customFormat="1" ht="13.15" customHeight="1" x14ac:dyDescent="0.25">
      <c r="B364" s="534" t="s">
        <v>110</v>
      </c>
      <c r="C364" s="536">
        <v>28</v>
      </c>
      <c r="D364" s="537">
        <v>4</v>
      </c>
      <c r="E364" s="537">
        <v>0</v>
      </c>
      <c r="F364" s="537">
        <v>0</v>
      </c>
      <c r="G364" s="537">
        <v>0</v>
      </c>
      <c r="H364" s="537">
        <v>0</v>
      </c>
      <c r="I364" s="537">
        <v>0</v>
      </c>
      <c r="J364" s="538">
        <v>0</v>
      </c>
      <c r="K364" s="540">
        <f t="shared" si="277"/>
        <v>32</v>
      </c>
      <c r="L364" s="2"/>
    </row>
    <row r="365" spans="2:14" s="1" customFormat="1" ht="13.15" customHeight="1" thickBot="1" x14ac:dyDescent="0.3">
      <c r="B365" s="535" t="s">
        <v>111</v>
      </c>
      <c r="C365" s="438">
        <f>C364-C363</f>
        <v>28</v>
      </c>
      <c r="D365" s="336">
        <f t="shared" ref="D365:J365" si="278">D364-D363</f>
        <v>4</v>
      </c>
      <c r="E365" s="336">
        <f t="shared" si="278"/>
        <v>0</v>
      </c>
      <c r="F365" s="336">
        <f t="shared" si="278"/>
        <v>0</v>
      </c>
      <c r="G365" s="336">
        <f t="shared" si="278"/>
        <v>0</v>
      </c>
      <c r="H365" s="336">
        <f t="shared" si="278"/>
        <v>0</v>
      </c>
      <c r="I365" s="336">
        <f t="shared" si="278"/>
        <v>0</v>
      </c>
      <c r="J365" s="431">
        <f t="shared" si="278"/>
        <v>0</v>
      </c>
      <c r="K365" s="541">
        <f t="shared" si="277"/>
        <v>32</v>
      </c>
      <c r="L365" s="2"/>
    </row>
    <row r="366" spans="2:14" s="1" customFormat="1" ht="13.15" customHeight="1" x14ac:dyDescent="0.25">
      <c r="B366" s="533" t="s">
        <v>378</v>
      </c>
      <c r="C366" s="436">
        <f t="shared" ref="C366:J366" si="279">C92</f>
        <v>0</v>
      </c>
      <c r="D366" s="204">
        <f t="shared" si="279"/>
        <v>0</v>
      </c>
      <c r="E366" s="204">
        <f t="shared" si="279"/>
        <v>0</v>
      </c>
      <c r="F366" s="204">
        <f t="shared" si="279"/>
        <v>0</v>
      </c>
      <c r="G366" s="204">
        <f t="shared" si="279"/>
        <v>0</v>
      </c>
      <c r="H366" s="204">
        <f t="shared" si="279"/>
        <v>0</v>
      </c>
      <c r="I366" s="204">
        <f t="shared" si="279"/>
        <v>0</v>
      </c>
      <c r="J366" s="429">
        <f t="shared" si="279"/>
        <v>0</v>
      </c>
      <c r="K366" s="539">
        <f t="shared" si="277"/>
        <v>0</v>
      </c>
      <c r="L366" s="2"/>
    </row>
    <row r="367" spans="2:14" s="1" customFormat="1" ht="13.15" customHeight="1" x14ac:dyDescent="0.25">
      <c r="B367" s="534" t="s">
        <v>379</v>
      </c>
      <c r="C367" s="536">
        <v>0</v>
      </c>
      <c r="D367" s="537">
        <v>0</v>
      </c>
      <c r="E367" s="537">
        <v>11</v>
      </c>
      <c r="F367" s="537">
        <v>29</v>
      </c>
      <c r="G367" s="537">
        <v>4</v>
      </c>
      <c r="H367" s="537">
        <v>0</v>
      </c>
      <c r="I367" s="537">
        <v>0</v>
      </c>
      <c r="J367" s="538">
        <v>0</v>
      </c>
      <c r="K367" s="540">
        <f t="shared" si="277"/>
        <v>44</v>
      </c>
      <c r="L367" s="2"/>
    </row>
    <row r="368" spans="2:14" s="1" customFormat="1" ht="13.15" customHeight="1" thickBot="1" x14ac:dyDescent="0.3">
      <c r="B368" s="535" t="s">
        <v>380</v>
      </c>
      <c r="C368" s="438">
        <f>C367-C366</f>
        <v>0</v>
      </c>
      <c r="D368" s="336">
        <f t="shared" ref="D368:J368" si="280">D367-D366</f>
        <v>0</v>
      </c>
      <c r="E368" s="336">
        <f t="shared" si="280"/>
        <v>11</v>
      </c>
      <c r="F368" s="336">
        <f t="shared" si="280"/>
        <v>29</v>
      </c>
      <c r="G368" s="336">
        <f t="shared" si="280"/>
        <v>4</v>
      </c>
      <c r="H368" s="336">
        <f t="shared" si="280"/>
        <v>0</v>
      </c>
      <c r="I368" s="336">
        <f t="shared" si="280"/>
        <v>0</v>
      </c>
      <c r="J368" s="431">
        <f t="shared" si="280"/>
        <v>0</v>
      </c>
      <c r="K368" s="541">
        <f t="shared" si="277"/>
        <v>44</v>
      </c>
      <c r="L368" s="2"/>
    </row>
    <row r="369" spans="2:14" s="114" customFormat="1" ht="3" customHeight="1" thickBot="1" x14ac:dyDescent="0.35">
      <c r="B369" s="115"/>
      <c r="C369" s="116"/>
      <c r="D369" s="117"/>
      <c r="E369" s="117"/>
      <c r="G369" s="115"/>
      <c r="H369" s="115"/>
      <c r="I369" s="116"/>
      <c r="J369" s="117"/>
      <c r="K369" s="117"/>
      <c r="L369" s="118"/>
      <c r="M369" s="122"/>
      <c r="N369" s="123"/>
    </row>
    <row r="370" spans="2:14" s="1" customFormat="1" ht="13.15" customHeight="1" x14ac:dyDescent="0.25">
      <c r="B370" s="984" t="s">
        <v>412</v>
      </c>
      <c r="C370" s="436">
        <f>C91</f>
        <v>0</v>
      </c>
      <c r="D370" s="204">
        <f t="shared" ref="D370:J370" si="281">D91</f>
        <v>0</v>
      </c>
      <c r="E370" s="204">
        <f t="shared" si="281"/>
        <v>0</v>
      </c>
      <c r="F370" s="204">
        <f t="shared" si="281"/>
        <v>0</v>
      </c>
      <c r="G370" s="204">
        <f t="shared" si="281"/>
        <v>0</v>
      </c>
      <c r="H370" s="204">
        <f t="shared" si="281"/>
        <v>0</v>
      </c>
      <c r="I370" s="204">
        <f t="shared" si="281"/>
        <v>0</v>
      </c>
      <c r="J370" s="429">
        <f t="shared" si="281"/>
        <v>0</v>
      </c>
      <c r="K370" s="990">
        <f>SUM(C370:J370)</f>
        <v>0</v>
      </c>
      <c r="L370" s="2"/>
    </row>
    <row r="371" spans="2:14" s="1" customFormat="1" ht="13.15" customHeight="1" x14ac:dyDescent="0.25">
      <c r="B371" s="985" t="s">
        <v>413</v>
      </c>
      <c r="C371" s="987">
        <v>0</v>
      </c>
      <c r="D371" s="988">
        <v>0</v>
      </c>
      <c r="E371" s="988">
        <v>0</v>
      </c>
      <c r="F371" s="988">
        <v>0</v>
      </c>
      <c r="G371" s="988">
        <v>0</v>
      </c>
      <c r="H371" s="988">
        <v>0</v>
      </c>
      <c r="I371" s="988">
        <v>0</v>
      </c>
      <c r="J371" s="989">
        <v>0</v>
      </c>
      <c r="K371" s="991">
        <f>SUM(C371:J371)</f>
        <v>0</v>
      </c>
      <c r="L371" s="2"/>
    </row>
    <row r="372" spans="2:14" s="1" customFormat="1" ht="13.15" customHeight="1" thickBot="1" x14ac:dyDescent="0.3">
      <c r="B372" s="986" t="s">
        <v>414</v>
      </c>
      <c r="C372" s="438">
        <f>C371-C370</f>
        <v>0</v>
      </c>
      <c r="D372" s="336">
        <f t="shared" ref="D372:J372" si="282">D371-D370</f>
        <v>0</v>
      </c>
      <c r="E372" s="336">
        <f t="shared" si="282"/>
        <v>0</v>
      </c>
      <c r="F372" s="336">
        <f t="shared" si="282"/>
        <v>0</v>
      </c>
      <c r="G372" s="336">
        <f t="shared" si="282"/>
        <v>0</v>
      </c>
      <c r="H372" s="336">
        <f t="shared" si="282"/>
        <v>0</v>
      </c>
      <c r="I372" s="336">
        <f t="shared" si="282"/>
        <v>0</v>
      </c>
      <c r="J372" s="431">
        <f t="shared" si="282"/>
        <v>0</v>
      </c>
      <c r="K372" s="992">
        <f>SUM(C372:J372)</f>
        <v>0</v>
      </c>
      <c r="L372" s="2"/>
    </row>
    <row r="373" spans="2:14" s="114" customFormat="1" ht="3" customHeight="1" thickBot="1" x14ac:dyDescent="0.35">
      <c r="B373" s="115"/>
      <c r="C373" s="116"/>
      <c r="D373" s="117"/>
      <c r="E373" s="117"/>
      <c r="G373" s="115"/>
      <c r="H373" s="115"/>
      <c r="I373" s="116"/>
      <c r="J373" s="117"/>
      <c r="K373" s="117"/>
      <c r="L373" s="118"/>
      <c r="M373" s="122"/>
      <c r="N373" s="123"/>
    </row>
    <row r="374" spans="2:14" s="1" customFormat="1" ht="13.15" customHeight="1" x14ac:dyDescent="0.25">
      <c r="B374" s="993" t="s">
        <v>415</v>
      </c>
      <c r="C374" s="436">
        <f>C92</f>
        <v>0</v>
      </c>
      <c r="D374" s="204">
        <f t="shared" ref="D374:J374" si="283">D92</f>
        <v>0</v>
      </c>
      <c r="E374" s="204">
        <f t="shared" si="283"/>
        <v>0</v>
      </c>
      <c r="F374" s="204">
        <f t="shared" si="283"/>
        <v>0</v>
      </c>
      <c r="G374" s="204">
        <f t="shared" si="283"/>
        <v>0</v>
      </c>
      <c r="H374" s="204">
        <f t="shared" si="283"/>
        <v>0</v>
      </c>
      <c r="I374" s="204">
        <f t="shared" si="283"/>
        <v>0</v>
      </c>
      <c r="J374" s="429">
        <f t="shared" si="283"/>
        <v>0</v>
      </c>
      <c r="K374" s="999">
        <f>SUM(C374:J374)</f>
        <v>0</v>
      </c>
      <c r="L374" s="2"/>
    </row>
    <row r="375" spans="2:14" s="1" customFormat="1" ht="13.15" customHeight="1" x14ac:dyDescent="0.25">
      <c r="B375" s="994" t="s">
        <v>416</v>
      </c>
      <c r="C375" s="996">
        <v>0</v>
      </c>
      <c r="D375" s="997">
        <v>10</v>
      </c>
      <c r="E375" s="997">
        <v>2</v>
      </c>
      <c r="F375" s="997">
        <v>0</v>
      </c>
      <c r="G375" s="997">
        <v>10</v>
      </c>
      <c r="H375" s="997">
        <v>9</v>
      </c>
      <c r="I375" s="997">
        <v>0</v>
      </c>
      <c r="J375" s="998">
        <v>0</v>
      </c>
      <c r="K375" s="1000">
        <f>SUM(C375:J375)</f>
        <v>31</v>
      </c>
      <c r="L375" s="2"/>
    </row>
    <row r="376" spans="2:14" s="1" customFormat="1" ht="13.15" customHeight="1" thickBot="1" x14ac:dyDescent="0.3">
      <c r="B376" s="995" t="s">
        <v>417</v>
      </c>
      <c r="C376" s="438">
        <f>C375-C374</f>
        <v>0</v>
      </c>
      <c r="D376" s="336">
        <f t="shared" ref="D376:J376" si="284">D375-D374</f>
        <v>10</v>
      </c>
      <c r="E376" s="336">
        <f t="shared" si="284"/>
        <v>2</v>
      </c>
      <c r="F376" s="336">
        <f t="shared" si="284"/>
        <v>0</v>
      </c>
      <c r="G376" s="336">
        <f t="shared" si="284"/>
        <v>10</v>
      </c>
      <c r="H376" s="336">
        <f t="shared" si="284"/>
        <v>9</v>
      </c>
      <c r="I376" s="336">
        <f t="shared" si="284"/>
        <v>0</v>
      </c>
      <c r="J376" s="431">
        <f t="shared" si="284"/>
        <v>0</v>
      </c>
      <c r="K376" s="1001">
        <f>SUM(C376:J376)</f>
        <v>31</v>
      </c>
      <c r="L376" s="2"/>
    </row>
    <row r="377" spans="2:14" s="114" customFormat="1" ht="3" customHeight="1" thickBot="1" x14ac:dyDescent="0.35">
      <c r="B377" s="115"/>
      <c r="C377" s="116"/>
      <c r="D377" s="117"/>
      <c r="E377" s="117"/>
      <c r="G377" s="115"/>
      <c r="H377" s="115"/>
      <c r="I377" s="116"/>
      <c r="J377" s="117"/>
      <c r="K377" s="117"/>
      <c r="L377" s="118"/>
      <c r="M377" s="122"/>
      <c r="N377" s="123"/>
    </row>
    <row r="378" spans="2:14" s="1" customFormat="1" ht="13.15" customHeight="1" x14ac:dyDescent="0.25">
      <c r="B378" s="922" t="s">
        <v>86</v>
      </c>
      <c r="C378" s="929">
        <f>C351+C355+C359+C363+C366+C370+C374</f>
        <v>0</v>
      </c>
      <c r="D378" s="307">
        <f t="shared" ref="D378:J378" si="285">D351+D355+D359+D363+D366+D370+D374</f>
        <v>0</v>
      </c>
      <c r="E378" s="307">
        <f t="shared" si="285"/>
        <v>0</v>
      </c>
      <c r="F378" s="307">
        <f t="shared" si="285"/>
        <v>0</v>
      </c>
      <c r="G378" s="307">
        <f t="shared" si="285"/>
        <v>0</v>
      </c>
      <c r="H378" s="307">
        <f t="shared" si="285"/>
        <v>0</v>
      </c>
      <c r="I378" s="307">
        <f t="shared" si="285"/>
        <v>0</v>
      </c>
      <c r="J378" s="308">
        <f t="shared" si="285"/>
        <v>0</v>
      </c>
      <c r="K378" s="925">
        <f>SUM(C378:J378)</f>
        <v>0</v>
      </c>
      <c r="L378" s="2"/>
    </row>
    <row r="379" spans="2:14" s="1" customFormat="1" ht="13.15" customHeight="1" x14ac:dyDescent="0.25">
      <c r="B379" s="923" t="s">
        <v>87</v>
      </c>
      <c r="C379" s="930">
        <f>C352+C356+C360+C364+C367+C371+C375</f>
        <v>76</v>
      </c>
      <c r="D379" s="928">
        <f t="shared" ref="D379:J379" si="286">D352+D356+D360+D364+D367+D371+D375</f>
        <v>68</v>
      </c>
      <c r="E379" s="928">
        <f t="shared" si="286"/>
        <v>74</v>
      </c>
      <c r="F379" s="928">
        <f t="shared" si="286"/>
        <v>65</v>
      </c>
      <c r="G379" s="928">
        <f t="shared" si="286"/>
        <v>74</v>
      </c>
      <c r="H379" s="928">
        <f t="shared" si="286"/>
        <v>9</v>
      </c>
      <c r="I379" s="928">
        <f t="shared" si="286"/>
        <v>0</v>
      </c>
      <c r="J379" s="931">
        <f t="shared" si="286"/>
        <v>0</v>
      </c>
      <c r="K379" s="926">
        <f t="shared" ref="K379:K380" si="287">SUM(C379:J379)</f>
        <v>366</v>
      </c>
      <c r="L379" s="2"/>
    </row>
    <row r="380" spans="2:14" s="1" customFormat="1" ht="13.15" customHeight="1" thickBot="1" x14ac:dyDescent="0.3">
      <c r="B380" s="924" t="s">
        <v>88</v>
      </c>
      <c r="C380" s="932">
        <f>C353+C357+C361+C365+C368+C372+C376</f>
        <v>76</v>
      </c>
      <c r="D380" s="309">
        <f t="shared" ref="D380:J380" si="288">D353+D357+D361+D365+D368+D372+D376</f>
        <v>68</v>
      </c>
      <c r="E380" s="309">
        <f t="shared" si="288"/>
        <v>74</v>
      </c>
      <c r="F380" s="309">
        <f t="shared" si="288"/>
        <v>65</v>
      </c>
      <c r="G380" s="309">
        <f t="shared" si="288"/>
        <v>74</v>
      </c>
      <c r="H380" s="309">
        <f t="shared" si="288"/>
        <v>9</v>
      </c>
      <c r="I380" s="309">
        <f t="shared" si="288"/>
        <v>0</v>
      </c>
      <c r="J380" s="933">
        <f t="shared" si="288"/>
        <v>0</v>
      </c>
      <c r="K380" s="927">
        <f t="shared" si="287"/>
        <v>366</v>
      </c>
      <c r="L380" s="2"/>
    </row>
    <row r="381" spans="2:14" s="1" customFormat="1" ht="13.15" customHeight="1" x14ac:dyDescent="0.25">
      <c r="B381" s="1" t="s">
        <v>7</v>
      </c>
      <c r="C381" s="56"/>
      <c r="D381" s="56"/>
      <c r="E381" s="56"/>
      <c r="F381" s="56"/>
      <c r="G381" s="56"/>
      <c r="H381" s="56"/>
      <c r="I381" s="56"/>
      <c r="J381" s="56"/>
      <c r="K381" s="56"/>
      <c r="L381" s="2"/>
    </row>
    <row r="382" spans="2:14" s="1" customFormat="1" ht="13.15" customHeight="1" x14ac:dyDescent="0.25">
      <c r="C382" s="56"/>
      <c r="D382" s="56"/>
      <c r="E382" s="56"/>
      <c r="F382" s="56"/>
      <c r="G382" s="56"/>
      <c r="H382" s="56"/>
      <c r="I382" s="56"/>
      <c r="J382" s="56"/>
      <c r="K382" s="56"/>
      <c r="L382" s="2"/>
    </row>
    <row r="383" spans="2:14" s="1" customFormat="1" ht="19.5" customHeight="1" x14ac:dyDescent="0.35">
      <c r="B383" s="1057" t="s">
        <v>0</v>
      </c>
      <c r="C383" s="1057"/>
      <c r="L383" s="2"/>
    </row>
    <row r="384" spans="2:14" s="1" customFormat="1" ht="3" customHeight="1" x14ac:dyDescent="0.3">
      <c r="D384" s="11"/>
      <c r="E384" s="11"/>
      <c r="F384" s="11"/>
      <c r="L384" s="2"/>
    </row>
    <row r="385" spans="2:12" s="1" customFormat="1" ht="18.75" x14ac:dyDescent="0.3">
      <c r="B385" s="80" t="s">
        <v>21</v>
      </c>
      <c r="D385" s="79"/>
      <c r="E385" s="73"/>
      <c r="F385" s="74"/>
      <c r="L385" s="2"/>
    </row>
    <row r="386" spans="2:12" s="1" customFormat="1" ht="10.15" customHeight="1" x14ac:dyDescent="0.3">
      <c r="B386" s="11"/>
      <c r="C386" s="11"/>
      <c r="D386" s="48" t="s">
        <v>15</v>
      </c>
      <c r="E386" s="48" t="s">
        <v>14</v>
      </c>
      <c r="G386" s="75"/>
      <c r="H386" s="75"/>
      <c r="I386" s="77"/>
      <c r="J386" s="78"/>
      <c r="K386" s="78"/>
      <c r="L386" s="2"/>
    </row>
    <row r="387" spans="2:12" s="1" customFormat="1" ht="14.25" customHeight="1" x14ac:dyDescent="0.3">
      <c r="B387" s="76" t="s">
        <v>18</v>
      </c>
      <c r="C387" s="68">
        <f>C6</f>
        <v>7</v>
      </c>
      <c r="D387" s="69">
        <f>D6</f>
        <v>46062</v>
      </c>
      <c r="E387" s="69">
        <f>E6</f>
        <v>46068</v>
      </c>
      <c r="G387" s="75"/>
      <c r="H387" s="75"/>
      <c r="I387" s="77"/>
      <c r="J387" s="78"/>
      <c r="K387" s="78"/>
      <c r="L387" s="81"/>
    </row>
    <row r="388" spans="2:12" s="1" customFormat="1" ht="3" customHeight="1" x14ac:dyDescent="0.25">
      <c r="D388" s="2"/>
      <c r="E388" s="2"/>
      <c r="F388" s="2"/>
      <c r="G388" s="2"/>
      <c r="H388" s="2"/>
      <c r="I388" s="2"/>
      <c r="J388" s="2"/>
      <c r="K388" s="2"/>
      <c r="L388" s="2"/>
    </row>
    <row r="389" spans="2:12" s="1" customFormat="1" x14ac:dyDescent="0.25">
      <c r="B389" s="31"/>
      <c r="C389" s="70">
        <f t="shared" ref="C389:J389" si="289">C8</f>
        <v>46062</v>
      </c>
      <c r="D389" s="70">
        <f t="shared" si="289"/>
        <v>46063</v>
      </c>
      <c r="E389" s="70">
        <f t="shared" si="289"/>
        <v>46064</v>
      </c>
      <c r="F389" s="70">
        <f t="shared" si="289"/>
        <v>46065</v>
      </c>
      <c r="G389" s="70">
        <f t="shared" si="289"/>
        <v>46066</v>
      </c>
      <c r="H389" s="70">
        <f t="shared" si="289"/>
        <v>46067</v>
      </c>
      <c r="I389" s="70">
        <f t="shared" si="289"/>
        <v>46068</v>
      </c>
      <c r="J389" s="70">
        <f t="shared" si="289"/>
        <v>46069</v>
      </c>
      <c r="K389" s="71" t="s">
        <v>1</v>
      </c>
      <c r="L389" s="72" t="s">
        <v>8</v>
      </c>
    </row>
    <row r="390" spans="2:12" s="1" customFormat="1" x14ac:dyDescent="0.25">
      <c r="B390" s="90" t="s">
        <v>208</v>
      </c>
      <c r="C390" s="241">
        <v>0</v>
      </c>
      <c r="D390" s="242">
        <v>0</v>
      </c>
      <c r="E390" s="242">
        <v>0</v>
      </c>
      <c r="F390" s="242">
        <v>0</v>
      </c>
      <c r="G390" s="242">
        <v>0</v>
      </c>
      <c r="H390" s="242">
        <v>0</v>
      </c>
      <c r="I390" s="243">
        <v>0</v>
      </c>
      <c r="J390" s="244"/>
      <c r="K390" s="88"/>
      <c r="L390" s="567" t="s">
        <v>101</v>
      </c>
    </row>
    <row r="391" spans="2:12" s="1" customFormat="1" ht="14.25" customHeight="1" x14ac:dyDescent="0.25">
      <c r="B391" s="90" t="s">
        <v>207</v>
      </c>
      <c r="C391" s="92">
        <v>4926</v>
      </c>
      <c r="D391" s="163">
        <v>5491</v>
      </c>
      <c r="E391" s="163">
        <v>5203</v>
      </c>
      <c r="F391" s="163">
        <v>5001</v>
      </c>
      <c r="G391" s="163">
        <v>4881</v>
      </c>
      <c r="H391" s="163">
        <v>4620</v>
      </c>
      <c r="I391" s="85">
        <v>4386</v>
      </c>
      <c r="J391" s="93">
        <v>4386</v>
      </c>
      <c r="K391" s="88"/>
      <c r="L391" s="86">
        <v>300</v>
      </c>
    </row>
    <row r="392" spans="2:12" s="1" customFormat="1" ht="14.25" customHeight="1" x14ac:dyDescent="0.25">
      <c r="B392" s="90" t="s">
        <v>53</v>
      </c>
      <c r="C392" s="94">
        <f t="shared" ref="C392:I392" si="290">C113+C114</f>
        <v>863</v>
      </c>
      <c r="D392" s="83">
        <f t="shared" si="290"/>
        <v>19</v>
      </c>
      <c r="E392" s="83">
        <f t="shared" si="290"/>
        <v>0</v>
      </c>
      <c r="F392" s="83">
        <f t="shared" si="290"/>
        <v>0</v>
      </c>
      <c r="G392" s="83">
        <f t="shared" si="290"/>
        <v>0</v>
      </c>
      <c r="H392" s="83">
        <f t="shared" si="290"/>
        <v>0</v>
      </c>
      <c r="I392" s="83">
        <f t="shared" si="290"/>
        <v>0</v>
      </c>
      <c r="J392" s="95"/>
      <c r="K392" s="88"/>
      <c r="L392" s="32"/>
    </row>
    <row r="393" spans="2:12" s="1" customFormat="1" ht="14.25" customHeight="1" x14ac:dyDescent="0.25">
      <c r="B393" s="90" t="s">
        <v>9</v>
      </c>
      <c r="C393" s="94">
        <f>C391+C392-D391</f>
        <v>298</v>
      </c>
      <c r="D393" s="83">
        <f t="shared" ref="D393:I393" si="291">D391+D392-E391</f>
        <v>307</v>
      </c>
      <c r="E393" s="83">
        <f t="shared" si="291"/>
        <v>202</v>
      </c>
      <c r="F393" s="83">
        <f t="shared" si="291"/>
        <v>120</v>
      </c>
      <c r="G393" s="83">
        <f t="shared" si="291"/>
        <v>261</v>
      </c>
      <c r="H393" s="83">
        <f t="shared" si="291"/>
        <v>234</v>
      </c>
      <c r="I393" s="83">
        <f t="shared" si="291"/>
        <v>0</v>
      </c>
      <c r="J393" s="95"/>
      <c r="K393" s="88"/>
      <c r="L393" s="568" t="s">
        <v>97</v>
      </c>
    </row>
    <row r="394" spans="2:12" s="1" customFormat="1" ht="14.25" customHeight="1" x14ac:dyDescent="0.25">
      <c r="B394" s="90" t="s">
        <v>10</v>
      </c>
      <c r="C394" s="111">
        <f t="shared" ref="C394:I394" si="292">C391/$L391</f>
        <v>16.420000000000002</v>
      </c>
      <c r="D394" s="112">
        <f t="shared" si="292"/>
        <v>18.303333333333335</v>
      </c>
      <c r="E394" s="112">
        <f t="shared" si="292"/>
        <v>17.343333333333334</v>
      </c>
      <c r="F394" s="112">
        <f t="shared" si="292"/>
        <v>16.670000000000002</v>
      </c>
      <c r="G394" s="112">
        <f t="shared" si="292"/>
        <v>16.27</v>
      </c>
      <c r="H394" s="112">
        <f t="shared" si="292"/>
        <v>15.4</v>
      </c>
      <c r="I394" s="112">
        <f t="shared" si="292"/>
        <v>14.62</v>
      </c>
      <c r="J394" s="99"/>
      <c r="K394" s="88"/>
      <c r="L394" s="33">
        <v>15</v>
      </c>
    </row>
    <row r="395" spans="2:12" s="1" customFormat="1" ht="14.25" customHeight="1" x14ac:dyDescent="0.25">
      <c r="B395" s="97" t="s">
        <v>209</v>
      </c>
      <c r="C395" s="245">
        <v>0</v>
      </c>
      <c r="D395" s="246">
        <v>0</v>
      </c>
      <c r="E395" s="246">
        <v>0</v>
      </c>
      <c r="F395" s="246">
        <v>0</v>
      </c>
      <c r="G395" s="246">
        <v>0</v>
      </c>
      <c r="H395" s="246">
        <v>0</v>
      </c>
      <c r="I395" s="246">
        <v>0</v>
      </c>
      <c r="J395" s="247"/>
      <c r="K395" s="9"/>
      <c r="L395" s="569" t="s">
        <v>101</v>
      </c>
    </row>
    <row r="396" spans="2:12" s="1" customFormat="1" ht="14.25" customHeight="1" x14ac:dyDescent="0.25">
      <c r="B396" s="97" t="s">
        <v>54</v>
      </c>
      <c r="C396" s="101">
        <v>824</v>
      </c>
      <c r="D396" s="91">
        <v>897</v>
      </c>
      <c r="E396" s="91">
        <v>791</v>
      </c>
      <c r="F396" s="91">
        <v>772</v>
      </c>
      <c r="G396" s="91">
        <v>739</v>
      </c>
      <c r="H396" s="91">
        <v>722</v>
      </c>
      <c r="I396" s="91">
        <v>690</v>
      </c>
      <c r="J396" s="102">
        <v>690</v>
      </c>
      <c r="K396" s="9"/>
      <c r="L396" s="89">
        <v>60</v>
      </c>
    </row>
    <row r="397" spans="2:12" s="1" customFormat="1" ht="14.25" customHeight="1" x14ac:dyDescent="0.25">
      <c r="B397" s="97" t="s">
        <v>55</v>
      </c>
      <c r="C397" s="103">
        <f t="shared" ref="C397:I397" si="293">C126+C127</f>
        <v>138</v>
      </c>
      <c r="D397" s="84">
        <f t="shared" si="293"/>
        <v>0</v>
      </c>
      <c r="E397" s="83">
        <f t="shared" si="293"/>
        <v>0</v>
      </c>
      <c r="F397" s="84">
        <f t="shared" si="293"/>
        <v>0</v>
      </c>
      <c r="G397" s="84">
        <f t="shared" si="293"/>
        <v>0</v>
      </c>
      <c r="H397" s="84">
        <f t="shared" si="293"/>
        <v>0</v>
      </c>
      <c r="I397" s="84">
        <f t="shared" si="293"/>
        <v>0</v>
      </c>
      <c r="J397" s="104"/>
      <c r="K397" s="9"/>
      <c r="L397" s="34"/>
    </row>
    <row r="398" spans="2:12" s="1" customFormat="1" ht="14.25" customHeight="1" x14ac:dyDescent="0.25">
      <c r="B398" s="97" t="s">
        <v>50</v>
      </c>
      <c r="C398" s="103">
        <f>C396+C397-D396</f>
        <v>65</v>
      </c>
      <c r="D398" s="84">
        <f t="shared" ref="D398:I398" si="294">D396+D397-E396</f>
        <v>106</v>
      </c>
      <c r="E398" s="84">
        <f t="shared" si="294"/>
        <v>19</v>
      </c>
      <c r="F398" s="84">
        <f t="shared" si="294"/>
        <v>33</v>
      </c>
      <c r="G398" s="84">
        <f t="shared" si="294"/>
        <v>17</v>
      </c>
      <c r="H398" s="84">
        <f t="shared" si="294"/>
        <v>32</v>
      </c>
      <c r="I398" s="84">
        <f t="shared" si="294"/>
        <v>0</v>
      </c>
      <c r="J398" s="104"/>
      <c r="K398" s="9"/>
      <c r="L398" s="573" t="s">
        <v>97</v>
      </c>
    </row>
    <row r="399" spans="2:12" s="1" customFormat="1" ht="14.25" customHeight="1" x14ac:dyDescent="0.25">
      <c r="B399" s="98" t="s">
        <v>51</v>
      </c>
      <c r="C399" s="108">
        <f t="shared" ref="C399:I399" si="295">C396/$L396</f>
        <v>13.733333333333333</v>
      </c>
      <c r="D399" s="87">
        <f t="shared" si="295"/>
        <v>14.95</v>
      </c>
      <c r="E399" s="87">
        <f t="shared" si="295"/>
        <v>13.183333333333334</v>
      </c>
      <c r="F399" s="87">
        <f t="shared" si="295"/>
        <v>12.866666666666667</v>
      </c>
      <c r="G399" s="87">
        <f t="shared" si="295"/>
        <v>12.316666666666666</v>
      </c>
      <c r="H399" s="87">
        <f t="shared" si="295"/>
        <v>12.033333333333333</v>
      </c>
      <c r="I399" s="87">
        <f t="shared" si="295"/>
        <v>11.5</v>
      </c>
      <c r="J399" s="99"/>
      <c r="K399" s="9"/>
      <c r="L399" s="35">
        <v>15</v>
      </c>
    </row>
    <row r="400" spans="2:12" s="1" customFormat="1" ht="14.25" customHeight="1" x14ac:dyDescent="0.25">
      <c r="B400" s="107" t="s">
        <v>216</v>
      </c>
      <c r="C400" s="248">
        <v>0</v>
      </c>
      <c r="D400" s="249">
        <v>0</v>
      </c>
      <c r="E400" s="249">
        <v>0</v>
      </c>
      <c r="F400" s="249">
        <v>0</v>
      </c>
      <c r="G400" s="249">
        <v>0</v>
      </c>
      <c r="H400" s="249">
        <v>0</v>
      </c>
      <c r="I400" s="249">
        <v>0</v>
      </c>
      <c r="J400" s="250"/>
      <c r="K400" s="59"/>
      <c r="L400" s="570" t="s">
        <v>101</v>
      </c>
    </row>
    <row r="401" spans="2:12" s="1" customFormat="1" ht="14.25" customHeight="1" x14ac:dyDescent="0.25">
      <c r="B401" s="107" t="s">
        <v>56</v>
      </c>
      <c r="C401" s="109">
        <v>863</v>
      </c>
      <c r="D401" s="100">
        <v>816</v>
      </c>
      <c r="E401" s="100">
        <v>789</v>
      </c>
      <c r="F401" s="100">
        <v>767</v>
      </c>
      <c r="G401" s="100">
        <v>758</v>
      </c>
      <c r="H401" s="100">
        <v>750</v>
      </c>
      <c r="I401" s="100">
        <v>739</v>
      </c>
      <c r="J401" s="110">
        <v>739</v>
      </c>
      <c r="K401" s="59"/>
      <c r="L401" s="66">
        <v>35</v>
      </c>
    </row>
    <row r="402" spans="2:12" s="1" customFormat="1" ht="14.25" customHeight="1" x14ac:dyDescent="0.25">
      <c r="B402" s="107" t="s">
        <v>57</v>
      </c>
      <c r="C402" s="103">
        <f t="shared" ref="C402:I402" si="296">C139+C140</f>
        <v>0</v>
      </c>
      <c r="D402" s="84">
        <f t="shared" si="296"/>
        <v>0</v>
      </c>
      <c r="E402" s="84">
        <f t="shared" si="296"/>
        <v>0</v>
      </c>
      <c r="F402" s="84">
        <f t="shared" si="296"/>
        <v>0</v>
      </c>
      <c r="G402" s="84">
        <f t="shared" si="296"/>
        <v>0</v>
      </c>
      <c r="H402" s="84">
        <f t="shared" si="296"/>
        <v>0</v>
      </c>
      <c r="I402" s="84">
        <f t="shared" si="296"/>
        <v>0</v>
      </c>
      <c r="J402" s="104"/>
      <c r="K402" s="59"/>
      <c r="L402" s="7"/>
    </row>
    <row r="403" spans="2:12" s="1" customFormat="1" ht="14.25" customHeight="1" x14ac:dyDescent="0.25">
      <c r="B403" s="107" t="s">
        <v>11</v>
      </c>
      <c r="C403" s="103">
        <f>C401+C402-D401</f>
        <v>47</v>
      </c>
      <c r="D403" s="84">
        <f t="shared" ref="D403:I403" si="297">D401+D402-E401</f>
        <v>27</v>
      </c>
      <c r="E403" s="84">
        <f t="shared" si="297"/>
        <v>22</v>
      </c>
      <c r="F403" s="84">
        <f t="shared" si="297"/>
        <v>9</v>
      </c>
      <c r="G403" s="84">
        <f t="shared" si="297"/>
        <v>8</v>
      </c>
      <c r="H403" s="84">
        <f t="shared" si="297"/>
        <v>11</v>
      </c>
      <c r="I403" s="84">
        <f t="shared" si="297"/>
        <v>0</v>
      </c>
      <c r="J403" s="104"/>
      <c r="K403" s="59"/>
      <c r="L403" s="574" t="s">
        <v>97</v>
      </c>
    </row>
    <row r="404" spans="2:12" s="1" customFormat="1" ht="14.25" customHeight="1" x14ac:dyDescent="0.25">
      <c r="B404" s="107" t="s">
        <v>12</v>
      </c>
      <c r="C404" s="105">
        <f t="shared" ref="C404:I404" si="298">C401/$L401</f>
        <v>24.657142857142858</v>
      </c>
      <c r="D404" s="106">
        <f t="shared" si="298"/>
        <v>23.314285714285713</v>
      </c>
      <c r="E404" s="106">
        <f t="shared" si="298"/>
        <v>22.542857142857144</v>
      </c>
      <c r="F404" s="106">
        <f t="shared" si="298"/>
        <v>21.914285714285715</v>
      </c>
      <c r="G404" s="106">
        <f t="shared" si="298"/>
        <v>21.657142857142858</v>
      </c>
      <c r="H404" s="106">
        <f t="shared" si="298"/>
        <v>21.428571428571427</v>
      </c>
      <c r="I404" s="106">
        <f t="shared" si="298"/>
        <v>21.114285714285714</v>
      </c>
      <c r="J404" s="96"/>
      <c r="K404" s="60"/>
      <c r="L404" s="38">
        <v>15</v>
      </c>
    </row>
    <row r="405" spans="2:12" s="1" customFormat="1" ht="14.25" customHeight="1" x14ac:dyDescent="0.25">
      <c r="B405" s="129" t="s">
        <v>215</v>
      </c>
      <c r="C405" s="251">
        <v>0</v>
      </c>
      <c r="D405" s="252">
        <v>0</v>
      </c>
      <c r="E405" s="252">
        <v>0</v>
      </c>
      <c r="F405" s="252">
        <v>0</v>
      </c>
      <c r="G405" s="252">
        <v>0</v>
      </c>
      <c r="H405" s="252">
        <v>0</v>
      </c>
      <c r="I405" s="252">
        <v>0</v>
      </c>
      <c r="J405" s="253"/>
      <c r="K405" s="133"/>
      <c r="L405" s="571" t="s">
        <v>101</v>
      </c>
    </row>
    <row r="406" spans="2:12" s="1" customFormat="1" ht="14.25" customHeight="1" x14ac:dyDescent="0.25">
      <c r="B406" s="129" t="s">
        <v>58</v>
      </c>
      <c r="C406" s="130">
        <v>3397</v>
      </c>
      <c r="D406" s="131">
        <v>3119</v>
      </c>
      <c r="E406" s="131">
        <v>3219</v>
      </c>
      <c r="F406" s="131">
        <v>3969</v>
      </c>
      <c r="G406" s="131">
        <v>4950</v>
      </c>
      <c r="H406" s="131">
        <v>5434</v>
      </c>
      <c r="I406" s="131">
        <v>5109</v>
      </c>
      <c r="J406" s="132">
        <v>5109</v>
      </c>
      <c r="K406" s="133"/>
      <c r="L406" s="135">
        <v>550</v>
      </c>
    </row>
    <row r="407" spans="2:12" s="1" customFormat="1" ht="14.25" customHeight="1" x14ac:dyDescent="0.25">
      <c r="B407" s="129" t="s">
        <v>59</v>
      </c>
      <c r="C407" s="103">
        <f t="shared" ref="C407:I407" si="299">C152+C153</f>
        <v>0</v>
      </c>
      <c r="D407" s="84">
        <f t="shared" si="299"/>
        <v>806</v>
      </c>
      <c r="E407" s="84">
        <f t="shared" si="299"/>
        <v>942</v>
      </c>
      <c r="F407" s="84">
        <f t="shared" si="299"/>
        <v>1041</v>
      </c>
      <c r="G407" s="84">
        <f t="shared" si="299"/>
        <v>926</v>
      </c>
      <c r="H407" s="84">
        <f t="shared" si="299"/>
        <v>0</v>
      </c>
      <c r="I407" s="84">
        <f t="shared" si="299"/>
        <v>0</v>
      </c>
      <c r="J407" s="104"/>
      <c r="K407" s="133"/>
      <c r="L407" s="134"/>
    </row>
    <row r="408" spans="2:12" s="1" customFormat="1" ht="14.25" customHeight="1" x14ac:dyDescent="0.25">
      <c r="B408" s="129" t="s">
        <v>33</v>
      </c>
      <c r="C408" s="103">
        <f>C406+C407-D406</f>
        <v>278</v>
      </c>
      <c r="D408" s="84">
        <f>D406+D407-E406</f>
        <v>706</v>
      </c>
      <c r="E408" s="84">
        <f t="shared" ref="E408" si="300">E406+E407-F406</f>
        <v>192</v>
      </c>
      <c r="F408" s="84">
        <f t="shared" ref="F408" si="301">F406+F407-G406</f>
        <v>60</v>
      </c>
      <c r="G408" s="84">
        <f t="shared" ref="G408" si="302">G406+G407-H406</f>
        <v>442</v>
      </c>
      <c r="H408" s="84">
        <f t="shared" ref="H408" si="303">H406+H407-I406</f>
        <v>325</v>
      </c>
      <c r="I408" s="84">
        <f t="shared" ref="I408" si="304">I406+I407-J406</f>
        <v>0</v>
      </c>
      <c r="J408" s="104"/>
      <c r="K408" s="133"/>
      <c r="L408" s="575" t="s">
        <v>97</v>
      </c>
    </row>
    <row r="409" spans="2:12" s="1" customFormat="1" ht="14.25" customHeight="1" x14ac:dyDescent="0.25">
      <c r="B409" s="129" t="s">
        <v>34</v>
      </c>
      <c r="C409" s="105">
        <f>C406/$L406</f>
        <v>6.1763636363636367</v>
      </c>
      <c r="D409" s="106">
        <f t="shared" ref="D409:I409" si="305">D406/$L406</f>
        <v>5.6709090909090909</v>
      </c>
      <c r="E409" s="106">
        <f t="shared" si="305"/>
        <v>5.8527272727272726</v>
      </c>
      <c r="F409" s="106">
        <f t="shared" si="305"/>
        <v>7.2163636363636368</v>
      </c>
      <c r="G409" s="106">
        <f t="shared" si="305"/>
        <v>9</v>
      </c>
      <c r="H409" s="106">
        <f t="shared" si="305"/>
        <v>9.8800000000000008</v>
      </c>
      <c r="I409" s="106">
        <f t="shared" si="305"/>
        <v>9.2890909090909091</v>
      </c>
      <c r="J409" s="96"/>
      <c r="K409" s="136"/>
      <c r="L409" s="137">
        <v>15</v>
      </c>
    </row>
    <row r="410" spans="2:12" s="1" customFormat="1" ht="14.25" customHeight="1" x14ac:dyDescent="0.25">
      <c r="B410" s="860" t="s">
        <v>365</v>
      </c>
      <c r="C410" s="861">
        <v>0</v>
      </c>
      <c r="D410" s="862">
        <v>0</v>
      </c>
      <c r="E410" s="862">
        <v>0</v>
      </c>
      <c r="F410" s="862">
        <v>0</v>
      </c>
      <c r="G410" s="862">
        <v>0</v>
      </c>
      <c r="H410" s="862">
        <v>0</v>
      </c>
      <c r="I410" s="862">
        <v>0</v>
      </c>
      <c r="J410" s="863"/>
      <c r="K410" s="59"/>
      <c r="L410" s="867" t="s">
        <v>101</v>
      </c>
    </row>
    <row r="411" spans="2:12" s="1" customFormat="1" ht="14.25" customHeight="1" x14ac:dyDescent="0.25">
      <c r="B411" s="860" t="s">
        <v>366</v>
      </c>
      <c r="C411" s="864">
        <v>0</v>
      </c>
      <c r="D411" s="865">
        <v>0</v>
      </c>
      <c r="E411" s="865">
        <v>0</v>
      </c>
      <c r="F411" s="865">
        <v>0</v>
      </c>
      <c r="G411" s="865">
        <v>0</v>
      </c>
      <c r="H411" s="865">
        <v>0</v>
      </c>
      <c r="I411" s="865">
        <v>0</v>
      </c>
      <c r="J411" s="866"/>
      <c r="K411" s="59"/>
      <c r="L411" s="868">
        <v>550</v>
      </c>
    </row>
    <row r="412" spans="2:12" s="1" customFormat="1" ht="14.25" customHeight="1" x14ac:dyDescent="0.25">
      <c r="B412" s="860" t="s">
        <v>367</v>
      </c>
      <c r="C412" s="103">
        <f t="shared" ref="C412:I412" si="306">C165+C166</f>
        <v>0</v>
      </c>
      <c r="D412" s="84">
        <f t="shared" si="306"/>
        <v>0</v>
      </c>
      <c r="E412" s="84">
        <f t="shared" si="306"/>
        <v>0</v>
      </c>
      <c r="F412" s="84">
        <f t="shared" si="306"/>
        <v>0</v>
      </c>
      <c r="G412" s="84">
        <f t="shared" si="306"/>
        <v>0</v>
      </c>
      <c r="H412" s="84">
        <f t="shared" si="306"/>
        <v>0</v>
      </c>
      <c r="I412" s="84">
        <f t="shared" si="306"/>
        <v>0</v>
      </c>
      <c r="J412" s="104"/>
      <c r="K412" s="59"/>
      <c r="L412" s="869"/>
    </row>
    <row r="413" spans="2:12" s="1" customFormat="1" ht="14.25" customHeight="1" x14ac:dyDescent="0.25">
      <c r="B413" s="860" t="s">
        <v>368</v>
      </c>
      <c r="C413" s="103">
        <f>C411+C412-D411</f>
        <v>0</v>
      </c>
      <c r="D413" s="84">
        <f>D411+D412-E411</f>
        <v>0</v>
      </c>
      <c r="E413" s="84">
        <f t="shared" ref="E413" si="307">E411+E412-F411</f>
        <v>0</v>
      </c>
      <c r="F413" s="84">
        <f t="shared" ref="F413" si="308">F411+F412-G411</f>
        <v>0</v>
      </c>
      <c r="G413" s="84">
        <f t="shared" ref="G413" si="309">G411+G412-H411</f>
        <v>0</v>
      </c>
      <c r="H413" s="84">
        <f t="shared" ref="H413" si="310">H411+H412-I411</f>
        <v>0</v>
      </c>
      <c r="I413" s="84">
        <f t="shared" ref="I413" si="311">I411+I412-J411</f>
        <v>0</v>
      </c>
      <c r="J413" s="104"/>
      <c r="K413" s="59"/>
      <c r="L413" s="870" t="s">
        <v>97</v>
      </c>
    </row>
    <row r="414" spans="2:12" s="1" customFormat="1" ht="14.25" customHeight="1" x14ac:dyDescent="0.25">
      <c r="B414" s="860" t="s">
        <v>369</v>
      </c>
      <c r="C414" s="105">
        <f>C411/$L411</f>
        <v>0</v>
      </c>
      <c r="D414" s="106">
        <f t="shared" ref="D414:I414" si="312">D411/$L411</f>
        <v>0</v>
      </c>
      <c r="E414" s="106">
        <f t="shared" si="312"/>
        <v>0</v>
      </c>
      <c r="F414" s="106">
        <f t="shared" si="312"/>
        <v>0</v>
      </c>
      <c r="G414" s="106">
        <f t="shared" si="312"/>
        <v>0</v>
      </c>
      <c r="H414" s="106">
        <f t="shared" si="312"/>
        <v>0</v>
      </c>
      <c r="I414" s="106">
        <f t="shared" si="312"/>
        <v>0</v>
      </c>
      <c r="J414" s="96"/>
      <c r="K414" s="60"/>
      <c r="L414" s="871">
        <v>15</v>
      </c>
    </row>
    <row r="415" spans="2:12" s="1" customFormat="1" ht="14.25" customHeight="1" x14ac:dyDescent="0.25">
      <c r="B415" s="660" t="s">
        <v>214</v>
      </c>
      <c r="C415" s="661">
        <v>0</v>
      </c>
      <c r="D415" s="662">
        <v>0</v>
      </c>
      <c r="E415" s="662">
        <v>0</v>
      </c>
      <c r="F415" s="662">
        <v>0</v>
      </c>
      <c r="G415" s="662">
        <v>0</v>
      </c>
      <c r="H415" s="662">
        <v>0</v>
      </c>
      <c r="I415" s="662">
        <v>0</v>
      </c>
      <c r="J415" s="663"/>
      <c r="K415" s="667"/>
      <c r="L415" s="668" t="s">
        <v>101</v>
      </c>
    </row>
    <row r="416" spans="2:12" s="1" customFormat="1" ht="14.25" customHeight="1" x14ac:dyDescent="0.25">
      <c r="B416" s="660" t="s">
        <v>210</v>
      </c>
      <c r="C416" s="664">
        <v>5595</v>
      </c>
      <c r="D416" s="665">
        <v>5163</v>
      </c>
      <c r="E416" s="665">
        <v>4667</v>
      </c>
      <c r="F416" s="665">
        <v>4424</v>
      </c>
      <c r="G416" s="665">
        <v>4357</v>
      </c>
      <c r="H416" s="665">
        <v>4164</v>
      </c>
      <c r="I416" s="665">
        <v>3876</v>
      </c>
      <c r="J416" s="666">
        <v>3876</v>
      </c>
      <c r="K416" s="667"/>
      <c r="L416" s="669">
        <v>550</v>
      </c>
    </row>
    <row r="417" spans="2:12" s="1" customFormat="1" ht="14.25" customHeight="1" x14ac:dyDescent="0.25">
      <c r="B417" s="660" t="s">
        <v>211</v>
      </c>
      <c r="C417" s="103">
        <f t="shared" ref="C417:I417" si="313">C178+C179</f>
        <v>0</v>
      </c>
      <c r="D417" s="84">
        <f t="shared" si="313"/>
        <v>0</v>
      </c>
      <c r="E417" s="84">
        <f t="shared" si="313"/>
        <v>0</v>
      </c>
      <c r="F417" s="84">
        <f t="shared" si="313"/>
        <v>0</v>
      </c>
      <c r="G417" s="84">
        <f t="shared" si="313"/>
        <v>114</v>
      </c>
      <c r="H417" s="84">
        <f t="shared" si="313"/>
        <v>0</v>
      </c>
      <c r="I417" s="84">
        <f t="shared" si="313"/>
        <v>0</v>
      </c>
      <c r="J417" s="104"/>
      <c r="K417" s="667"/>
      <c r="L417" s="670"/>
    </row>
    <row r="418" spans="2:12" s="1" customFormat="1" ht="14.25" customHeight="1" x14ac:dyDescent="0.25">
      <c r="B418" s="660" t="s">
        <v>212</v>
      </c>
      <c r="C418" s="103">
        <f>C416+C417-D416</f>
        <v>432</v>
      </c>
      <c r="D418" s="84">
        <f>D416+D417-E416</f>
        <v>496</v>
      </c>
      <c r="E418" s="84">
        <f t="shared" ref="E418" si="314">E416+E417-F416</f>
        <v>243</v>
      </c>
      <c r="F418" s="84">
        <f t="shared" ref="F418" si="315">F416+F417-G416</f>
        <v>67</v>
      </c>
      <c r="G418" s="84">
        <f t="shared" ref="G418" si="316">G416+G417-H416</f>
        <v>307</v>
      </c>
      <c r="H418" s="84">
        <f t="shared" ref="H418" si="317">H416+H417-I416</f>
        <v>288</v>
      </c>
      <c r="I418" s="84">
        <f t="shared" ref="I418" si="318">I416+I417-J416</f>
        <v>0</v>
      </c>
      <c r="J418" s="104"/>
      <c r="K418" s="667"/>
      <c r="L418" s="671" t="s">
        <v>97</v>
      </c>
    </row>
    <row r="419" spans="2:12" s="1" customFormat="1" ht="14.25" customHeight="1" x14ac:dyDescent="0.25">
      <c r="B419" s="660" t="s">
        <v>213</v>
      </c>
      <c r="C419" s="105">
        <f>C416/$L416</f>
        <v>10.172727272727272</v>
      </c>
      <c r="D419" s="106">
        <f t="shared" ref="D419:I419" si="319">D416/$L416</f>
        <v>9.3872727272727268</v>
      </c>
      <c r="E419" s="106">
        <f t="shared" si="319"/>
        <v>8.4854545454545462</v>
      </c>
      <c r="F419" s="106">
        <f t="shared" si="319"/>
        <v>8.043636363636363</v>
      </c>
      <c r="G419" s="106">
        <f t="shared" si="319"/>
        <v>7.9218181818181819</v>
      </c>
      <c r="H419" s="106">
        <f t="shared" si="319"/>
        <v>7.5709090909090913</v>
      </c>
      <c r="I419" s="106">
        <f t="shared" si="319"/>
        <v>7.0472727272727269</v>
      </c>
      <c r="J419" s="96"/>
      <c r="K419" s="672"/>
      <c r="L419" s="673">
        <v>15</v>
      </c>
    </row>
    <row r="420" spans="2:12" s="1" customFormat="1" ht="14.25" customHeight="1" x14ac:dyDescent="0.25">
      <c r="B420" s="674" t="s">
        <v>214</v>
      </c>
      <c r="C420" s="675">
        <v>0</v>
      </c>
      <c r="D420" s="676">
        <v>0</v>
      </c>
      <c r="E420" s="676">
        <v>0</v>
      </c>
      <c r="F420" s="676">
        <v>0</v>
      </c>
      <c r="G420" s="676">
        <v>0</v>
      </c>
      <c r="H420" s="676">
        <v>0</v>
      </c>
      <c r="I420" s="676">
        <v>0</v>
      </c>
      <c r="J420" s="677"/>
      <c r="K420" s="681"/>
      <c r="L420" s="682" t="s">
        <v>101</v>
      </c>
    </row>
    <row r="421" spans="2:12" s="1" customFormat="1" ht="14.25" customHeight="1" x14ac:dyDescent="0.25">
      <c r="B421" s="674" t="s">
        <v>210</v>
      </c>
      <c r="C421" s="678">
        <v>0</v>
      </c>
      <c r="D421" s="679">
        <v>0</v>
      </c>
      <c r="E421" s="679">
        <v>0</v>
      </c>
      <c r="F421" s="679">
        <v>0</v>
      </c>
      <c r="G421" s="679">
        <v>0</v>
      </c>
      <c r="H421" s="679">
        <v>0</v>
      </c>
      <c r="I421" s="679">
        <v>0</v>
      </c>
      <c r="J421" s="680"/>
      <c r="K421" s="681"/>
      <c r="L421" s="683">
        <v>35</v>
      </c>
    </row>
    <row r="422" spans="2:12" s="1" customFormat="1" ht="14.25" customHeight="1" x14ac:dyDescent="0.25">
      <c r="B422" s="674" t="s">
        <v>211</v>
      </c>
      <c r="C422" s="103">
        <f t="shared" ref="C422:I422" si="320">C191+C192</f>
        <v>0</v>
      </c>
      <c r="D422" s="84">
        <f t="shared" si="320"/>
        <v>0</v>
      </c>
      <c r="E422" s="84">
        <f t="shared" si="320"/>
        <v>0</v>
      </c>
      <c r="F422" s="84">
        <f t="shared" si="320"/>
        <v>0</v>
      </c>
      <c r="G422" s="84">
        <f t="shared" si="320"/>
        <v>0</v>
      </c>
      <c r="H422" s="84">
        <f t="shared" si="320"/>
        <v>0</v>
      </c>
      <c r="I422" s="84">
        <f t="shared" si="320"/>
        <v>0</v>
      </c>
      <c r="J422" s="104"/>
      <c r="K422" s="681"/>
      <c r="L422" s="684"/>
    </row>
    <row r="423" spans="2:12" s="1" customFormat="1" ht="14.25" customHeight="1" x14ac:dyDescent="0.25">
      <c r="B423" s="674" t="s">
        <v>212</v>
      </c>
      <c r="C423" s="103">
        <f>C421+C422-D421</f>
        <v>0</v>
      </c>
      <c r="D423" s="84">
        <f>D421+D422-E421</f>
        <v>0</v>
      </c>
      <c r="E423" s="84">
        <f t="shared" ref="E423" si="321">E421+E422-F421</f>
        <v>0</v>
      </c>
      <c r="F423" s="84">
        <f t="shared" ref="F423" si="322">F421+F422-G421</f>
        <v>0</v>
      </c>
      <c r="G423" s="84">
        <f t="shared" ref="G423" si="323">G421+G422-H421</f>
        <v>0</v>
      </c>
      <c r="H423" s="84">
        <f t="shared" ref="H423" si="324">H421+H422-I421</f>
        <v>0</v>
      </c>
      <c r="I423" s="84">
        <f t="shared" ref="I423" si="325">I421+I422-J421</f>
        <v>0</v>
      </c>
      <c r="J423" s="104"/>
      <c r="K423" s="681"/>
      <c r="L423" s="685" t="s">
        <v>97</v>
      </c>
    </row>
    <row r="424" spans="2:12" s="1" customFormat="1" ht="14.25" customHeight="1" x14ac:dyDescent="0.25">
      <c r="B424" s="674" t="s">
        <v>213</v>
      </c>
      <c r="C424" s="105">
        <f>C421/$L421</f>
        <v>0</v>
      </c>
      <c r="D424" s="106">
        <f t="shared" ref="D424:I424" si="326">D421/$L421</f>
        <v>0</v>
      </c>
      <c r="E424" s="106">
        <f t="shared" si="326"/>
        <v>0</v>
      </c>
      <c r="F424" s="106">
        <f t="shared" si="326"/>
        <v>0</v>
      </c>
      <c r="G424" s="106">
        <f t="shared" si="326"/>
        <v>0</v>
      </c>
      <c r="H424" s="106">
        <f t="shared" si="326"/>
        <v>0</v>
      </c>
      <c r="I424" s="106">
        <f t="shared" si="326"/>
        <v>0</v>
      </c>
      <c r="J424" s="96"/>
      <c r="K424" s="686"/>
      <c r="L424" s="687">
        <v>15</v>
      </c>
    </row>
    <row r="425" spans="2:12" s="1" customFormat="1" ht="14.25" customHeight="1" x14ac:dyDescent="0.25">
      <c r="B425" s="688" t="s">
        <v>217</v>
      </c>
      <c r="C425" s="691">
        <v>0</v>
      </c>
      <c r="D425" s="692">
        <v>0</v>
      </c>
      <c r="E425" s="692">
        <v>0</v>
      </c>
      <c r="F425" s="692">
        <v>0</v>
      </c>
      <c r="G425" s="692">
        <v>0</v>
      </c>
      <c r="H425" s="692">
        <v>0</v>
      </c>
      <c r="I425" s="692">
        <v>0</v>
      </c>
      <c r="J425" s="693"/>
      <c r="K425" s="696"/>
      <c r="L425" s="697" t="s">
        <v>101</v>
      </c>
    </row>
    <row r="426" spans="2:12" s="1" customFormat="1" ht="14.25" customHeight="1" x14ac:dyDescent="0.25">
      <c r="B426" s="689" t="s">
        <v>60</v>
      </c>
      <c r="C426" s="694">
        <v>3153</v>
      </c>
      <c r="D426" s="694">
        <v>3679</v>
      </c>
      <c r="E426" s="694">
        <v>4129</v>
      </c>
      <c r="F426" s="694">
        <v>4062</v>
      </c>
      <c r="G426" s="694">
        <v>4004</v>
      </c>
      <c r="H426" s="694">
        <v>3444</v>
      </c>
      <c r="I426" s="694">
        <v>3228</v>
      </c>
      <c r="J426" s="695">
        <v>3228</v>
      </c>
      <c r="K426" s="696"/>
      <c r="L426" s="698">
        <v>350</v>
      </c>
    </row>
    <row r="427" spans="2:12" s="1" customFormat="1" ht="14.25" customHeight="1" x14ac:dyDescent="0.25">
      <c r="B427" s="690" t="s">
        <v>61</v>
      </c>
      <c r="C427" s="52">
        <f t="shared" ref="C427:I427" si="327">C216+C217</f>
        <v>866</v>
      </c>
      <c r="D427" s="52">
        <f t="shared" si="327"/>
        <v>701</v>
      </c>
      <c r="E427" s="52">
        <f t="shared" si="327"/>
        <v>21</v>
      </c>
      <c r="F427" s="52">
        <f t="shared" si="327"/>
        <v>0</v>
      </c>
      <c r="G427" s="52">
        <f t="shared" si="327"/>
        <v>0</v>
      </c>
      <c r="H427" s="52">
        <f t="shared" si="327"/>
        <v>0</v>
      </c>
      <c r="I427" s="52">
        <f t="shared" si="327"/>
        <v>0</v>
      </c>
      <c r="J427" s="57"/>
      <c r="K427" s="699"/>
      <c r="L427" s="140"/>
    </row>
    <row r="428" spans="2:12" s="1" customFormat="1" ht="14.25" customHeight="1" x14ac:dyDescent="0.25">
      <c r="B428" s="690" t="s">
        <v>35</v>
      </c>
      <c r="C428" s="54">
        <f>C426+C427-D426</f>
        <v>340</v>
      </c>
      <c r="D428" s="54">
        <f>D426+D427-E426</f>
        <v>251</v>
      </c>
      <c r="E428" s="54">
        <f t="shared" ref="E428:I428" si="328">E426+E427-F426</f>
        <v>88</v>
      </c>
      <c r="F428" s="54">
        <f t="shared" si="328"/>
        <v>58</v>
      </c>
      <c r="G428" s="54">
        <f t="shared" si="328"/>
        <v>560</v>
      </c>
      <c r="H428" s="54">
        <f t="shared" si="328"/>
        <v>216</v>
      </c>
      <c r="I428" s="54">
        <f t="shared" si="328"/>
        <v>0</v>
      </c>
      <c r="J428" s="57"/>
      <c r="K428" s="699"/>
      <c r="L428" s="700" t="s">
        <v>97</v>
      </c>
    </row>
    <row r="429" spans="2:12" s="1" customFormat="1" ht="14.25" customHeight="1" x14ac:dyDescent="0.25">
      <c r="B429" s="689" t="s">
        <v>36</v>
      </c>
      <c r="C429" s="87">
        <f t="shared" ref="C429:I429" si="329">C426/$L426</f>
        <v>9.0085714285714289</v>
      </c>
      <c r="D429" s="87">
        <f t="shared" si="329"/>
        <v>10.511428571428571</v>
      </c>
      <c r="E429" s="87">
        <f t="shared" si="329"/>
        <v>11.797142857142857</v>
      </c>
      <c r="F429" s="87">
        <f t="shared" si="329"/>
        <v>11.605714285714285</v>
      </c>
      <c r="G429" s="87">
        <f t="shared" si="329"/>
        <v>11.44</v>
      </c>
      <c r="H429" s="87">
        <f t="shared" si="329"/>
        <v>9.84</v>
      </c>
      <c r="I429" s="87">
        <f t="shared" si="329"/>
        <v>9.2228571428571424</v>
      </c>
      <c r="J429" s="57"/>
      <c r="K429" s="699"/>
      <c r="L429" s="701">
        <v>15</v>
      </c>
    </row>
    <row r="430" spans="2:12" s="1" customFormat="1" ht="14.25" customHeight="1" x14ac:dyDescent="0.25">
      <c r="B430" s="254" t="s">
        <v>218</v>
      </c>
      <c r="C430" s="256">
        <v>0</v>
      </c>
      <c r="D430" s="257">
        <v>0</v>
      </c>
      <c r="E430" s="257">
        <v>0</v>
      </c>
      <c r="F430" s="257">
        <v>0</v>
      </c>
      <c r="G430" s="257">
        <v>0</v>
      </c>
      <c r="H430" s="257">
        <v>0</v>
      </c>
      <c r="I430" s="257">
        <v>0</v>
      </c>
      <c r="J430" s="258"/>
      <c r="K430" s="255"/>
      <c r="L430" s="572" t="s">
        <v>101</v>
      </c>
    </row>
    <row r="431" spans="2:12" s="1" customFormat="1" ht="14.25" customHeight="1" x14ac:dyDescent="0.25">
      <c r="B431" s="39" t="s">
        <v>62</v>
      </c>
      <c r="C431" s="144">
        <v>402</v>
      </c>
      <c r="D431" s="144">
        <v>353</v>
      </c>
      <c r="E431" s="144">
        <v>320</v>
      </c>
      <c r="F431" s="144">
        <v>306</v>
      </c>
      <c r="G431" s="144">
        <v>290</v>
      </c>
      <c r="H431" s="144">
        <v>280</v>
      </c>
      <c r="I431" s="144">
        <v>262</v>
      </c>
      <c r="J431" s="144">
        <v>262</v>
      </c>
      <c r="K431" s="40"/>
      <c r="L431" s="41">
        <v>25</v>
      </c>
    </row>
    <row r="432" spans="2:12" s="1" customFormat="1" ht="14.25" customHeight="1" x14ac:dyDescent="0.25">
      <c r="B432" s="39" t="s">
        <v>63</v>
      </c>
      <c r="C432" s="52">
        <f t="shared" ref="C432:I432" si="330">C229+C230</f>
        <v>0</v>
      </c>
      <c r="D432" s="52">
        <f t="shared" si="330"/>
        <v>0</v>
      </c>
      <c r="E432" s="52">
        <f t="shared" si="330"/>
        <v>0</v>
      </c>
      <c r="F432" s="52">
        <f t="shared" si="330"/>
        <v>0</v>
      </c>
      <c r="G432" s="52">
        <f t="shared" si="330"/>
        <v>0</v>
      </c>
      <c r="H432" s="52">
        <f t="shared" si="330"/>
        <v>0</v>
      </c>
      <c r="I432" s="52">
        <f t="shared" si="330"/>
        <v>0</v>
      </c>
      <c r="J432" s="52"/>
      <c r="K432" s="61"/>
      <c r="L432" s="26"/>
    </row>
    <row r="433" spans="2:12" s="1" customFormat="1" ht="14.25" customHeight="1" x14ac:dyDescent="0.25">
      <c r="B433" s="39" t="s">
        <v>37</v>
      </c>
      <c r="C433" s="63">
        <f>C431+C432-D431</f>
        <v>49</v>
      </c>
      <c r="D433" s="63">
        <f t="shared" ref="D433:I433" si="331">D431+D432-E431</f>
        <v>33</v>
      </c>
      <c r="E433" s="63">
        <f t="shared" si="331"/>
        <v>14</v>
      </c>
      <c r="F433" s="63">
        <f t="shared" si="331"/>
        <v>16</v>
      </c>
      <c r="G433" s="63">
        <f t="shared" si="331"/>
        <v>10</v>
      </c>
      <c r="H433" s="63">
        <f t="shared" si="331"/>
        <v>18</v>
      </c>
      <c r="I433" s="63">
        <f t="shared" si="331"/>
        <v>0</v>
      </c>
      <c r="J433" s="63"/>
      <c r="K433" s="62"/>
      <c r="L433" s="576" t="s">
        <v>97</v>
      </c>
    </row>
    <row r="434" spans="2:12" s="1" customFormat="1" ht="14.25" customHeight="1" x14ac:dyDescent="0.25">
      <c r="B434" s="39" t="s">
        <v>38</v>
      </c>
      <c r="C434" s="58">
        <f>C431/$L431</f>
        <v>16.079999999999998</v>
      </c>
      <c r="D434" s="58">
        <f t="shared" ref="D434:I434" si="332">D431/$L431</f>
        <v>14.12</v>
      </c>
      <c r="E434" s="58">
        <f t="shared" si="332"/>
        <v>12.8</v>
      </c>
      <c r="F434" s="58">
        <f t="shared" si="332"/>
        <v>12.24</v>
      </c>
      <c r="G434" s="58">
        <f t="shared" si="332"/>
        <v>11.6</v>
      </c>
      <c r="H434" s="58">
        <f t="shared" si="332"/>
        <v>11.2</v>
      </c>
      <c r="I434" s="58">
        <f t="shared" si="332"/>
        <v>10.48</v>
      </c>
      <c r="J434" s="63"/>
      <c r="K434" s="61"/>
      <c r="L434" s="42">
        <v>15</v>
      </c>
    </row>
    <row r="435" spans="2:12" s="1" customFormat="1" ht="14.25" customHeight="1" x14ac:dyDescent="0.25">
      <c r="B435" s="259" t="s">
        <v>219</v>
      </c>
      <c r="C435" s="248">
        <v>0</v>
      </c>
      <c r="D435" s="249">
        <v>0</v>
      </c>
      <c r="E435" s="249">
        <v>0</v>
      </c>
      <c r="F435" s="249">
        <v>0</v>
      </c>
      <c r="G435" s="249">
        <v>0</v>
      </c>
      <c r="H435" s="249">
        <v>0</v>
      </c>
      <c r="I435" s="249">
        <v>0</v>
      </c>
      <c r="J435" s="250"/>
      <c r="K435" s="37"/>
      <c r="L435" s="570" t="s">
        <v>101</v>
      </c>
    </row>
    <row r="436" spans="2:12" s="1" customFormat="1" ht="14.25" customHeight="1" x14ac:dyDescent="0.25">
      <c r="B436" s="43" t="s">
        <v>64</v>
      </c>
      <c r="C436" s="28">
        <v>485</v>
      </c>
      <c r="D436" s="28">
        <v>449</v>
      </c>
      <c r="E436" s="28">
        <v>413</v>
      </c>
      <c r="F436" s="28">
        <v>401</v>
      </c>
      <c r="G436" s="28">
        <v>394</v>
      </c>
      <c r="H436" s="28">
        <v>366</v>
      </c>
      <c r="I436" s="28">
        <v>312</v>
      </c>
      <c r="J436" s="28">
        <v>312</v>
      </c>
      <c r="K436" s="44"/>
      <c r="L436" s="66">
        <v>90</v>
      </c>
    </row>
    <row r="437" spans="2:12" s="1" customFormat="1" ht="14.25" customHeight="1" x14ac:dyDescent="0.25">
      <c r="B437" s="36" t="s">
        <v>65</v>
      </c>
      <c r="C437" s="52">
        <f t="shared" ref="C437:I437" si="333">C242+C243</f>
        <v>0</v>
      </c>
      <c r="D437" s="52">
        <f t="shared" si="333"/>
        <v>11</v>
      </c>
      <c r="E437" s="52">
        <f t="shared" si="333"/>
        <v>0</v>
      </c>
      <c r="F437" s="52">
        <f t="shared" si="333"/>
        <v>0</v>
      </c>
      <c r="G437" s="52">
        <f t="shared" si="333"/>
        <v>0</v>
      </c>
      <c r="H437" s="52">
        <f t="shared" si="333"/>
        <v>0</v>
      </c>
      <c r="I437" s="52">
        <f t="shared" si="333"/>
        <v>0</v>
      </c>
      <c r="J437" s="52"/>
      <c r="K437" s="64"/>
      <c r="L437" s="66"/>
    </row>
    <row r="438" spans="2:12" s="1" customFormat="1" ht="14.25" customHeight="1" x14ac:dyDescent="0.25">
      <c r="B438" s="36" t="s">
        <v>39</v>
      </c>
      <c r="C438" s="63">
        <f>C436+C437-D436</f>
        <v>36</v>
      </c>
      <c r="D438" s="63">
        <f t="shared" ref="D438:I438" si="334">D436+D437-E436</f>
        <v>47</v>
      </c>
      <c r="E438" s="63">
        <f t="shared" si="334"/>
        <v>12</v>
      </c>
      <c r="F438" s="63">
        <f t="shared" si="334"/>
        <v>7</v>
      </c>
      <c r="G438" s="63">
        <f t="shared" si="334"/>
        <v>28</v>
      </c>
      <c r="H438" s="63">
        <f t="shared" si="334"/>
        <v>54</v>
      </c>
      <c r="I438" s="63">
        <f t="shared" si="334"/>
        <v>0</v>
      </c>
      <c r="J438" s="63"/>
      <c r="K438" s="64"/>
      <c r="L438" s="574" t="s">
        <v>97</v>
      </c>
    </row>
    <row r="439" spans="2:12" s="1" customFormat="1" ht="14.25" customHeight="1" x14ac:dyDescent="0.25">
      <c r="B439" s="45" t="s">
        <v>40</v>
      </c>
      <c r="C439" s="58">
        <f>C436/$L$436</f>
        <v>5.3888888888888893</v>
      </c>
      <c r="D439" s="58">
        <f t="shared" ref="D439:I439" si="335">D436/$L$436</f>
        <v>4.9888888888888889</v>
      </c>
      <c r="E439" s="58">
        <f t="shared" si="335"/>
        <v>4.5888888888888886</v>
      </c>
      <c r="F439" s="58">
        <f t="shared" si="335"/>
        <v>4.4555555555555557</v>
      </c>
      <c r="G439" s="58">
        <f t="shared" si="335"/>
        <v>4.3777777777777782</v>
      </c>
      <c r="H439" s="58">
        <f t="shared" si="335"/>
        <v>4.0666666666666664</v>
      </c>
      <c r="I439" s="58">
        <f t="shared" si="335"/>
        <v>3.4666666666666668</v>
      </c>
      <c r="J439" s="63"/>
      <c r="K439" s="65"/>
      <c r="L439" s="67">
        <v>15</v>
      </c>
    </row>
    <row r="440" spans="2:12" s="1" customFormat="1" ht="14.25" customHeight="1" x14ac:dyDescent="0.25">
      <c r="B440" s="260" t="s">
        <v>220</v>
      </c>
      <c r="C440" s="267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9"/>
      <c r="K440" s="261"/>
      <c r="L440" s="141"/>
    </row>
    <row r="441" spans="2:12" s="1" customFormat="1" ht="14.25" customHeight="1" x14ac:dyDescent="0.25">
      <c r="B441" s="260" t="s">
        <v>66</v>
      </c>
      <c r="C441" s="267">
        <v>1319</v>
      </c>
      <c r="D441" s="268">
        <v>1002</v>
      </c>
      <c r="E441" s="268">
        <v>675</v>
      </c>
      <c r="F441" s="268">
        <v>1112</v>
      </c>
      <c r="G441" s="268">
        <v>1054</v>
      </c>
      <c r="H441" s="268">
        <v>866</v>
      </c>
      <c r="I441" s="268">
        <v>1301</v>
      </c>
      <c r="J441" s="269">
        <v>1301</v>
      </c>
      <c r="K441" s="261"/>
      <c r="L441" s="142">
        <v>230</v>
      </c>
    </row>
    <row r="442" spans="2:12" s="1" customFormat="1" ht="14.25" customHeight="1" x14ac:dyDescent="0.25">
      <c r="B442" s="260" t="s">
        <v>41</v>
      </c>
      <c r="C442" s="94">
        <f t="shared" ref="C442:I442" si="336">C255+C256</f>
        <v>0</v>
      </c>
      <c r="D442" s="83">
        <f t="shared" si="336"/>
        <v>0</v>
      </c>
      <c r="E442" s="83">
        <f t="shared" si="336"/>
        <v>559</v>
      </c>
      <c r="F442" s="83">
        <f t="shared" si="336"/>
        <v>0</v>
      </c>
      <c r="G442" s="83">
        <f t="shared" si="336"/>
        <v>215</v>
      </c>
      <c r="H442" s="83">
        <f t="shared" si="336"/>
        <v>700</v>
      </c>
      <c r="I442" s="83">
        <f t="shared" si="336"/>
        <v>0</v>
      </c>
      <c r="J442" s="95"/>
      <c r="K442" s="262"/>
      <c r="L442" s="142"/>
    </row>
    <row r="443" spans="2:12" s="1" customFormat="1" ht="14.25" customHeight="1" x14ac:dyDescent="0.25">
      <c r="B443" s="260" t="s">
        <v>42</v>
      </c>
      <c r="C443" s="263">
        <f>C441+C442-D441</f>
        <v>317</v>
      </c>
      <c r="D443" s="264">
        <f t="shared" ref="D443:I443" si="337">D441+D442-E441</f>
        <v>327</v>
      </c>
      <c r="E443" s="264">
        <f t="shared" si="337"/>
        <v>122</v>
      </c>
      <c r="F443" s="264">
        <f t="shared" si="337"/>
        <v>58</v>
      </c>
      <c r="G443" s="264">
        <f t="shared" si="337"/>
        <v>403</v>
      </c>
      <c r="H443" s="264">
        <f t="shared" si="337"/>
        <v>265</v>
      </c>
      <c r="I443" s="264">
        <f t="shared" si="337"/>
        <v>0</v>
      </c>
      <c r="J443" s="265"/>
      <c r="K443" s="262"/>
      <c r="L443" s="577" t="s">
        <v>97</v>
      </c>
    </row>
    <row r="444" spans="2:12" s="1" customFormat="1" ht="14.25" customHeight="1" x14ac:dyDescent="0.25">
      <c r="B444" s="260" t="s">
        <v>43</v>
      </c>
      <c r="C444" s="105">
        <f>C441/$L441</f>
        <v>5.7347826086956522</v>
      </c>
      <c r="D444" s="106">
        <f t="shared" ref="D444:I444" si="338">D441/$L441</f>
        <v>4.3565217391304349</v>
      </c>
      <c r="E444" s="106">
        <f t="shared" si="338"/>
        <v>2.9347826086956523</v>
      </c>
      <c r="F444" s="106">
        <f t="shared" si="338"/>
        <v>4.8347826086956518</v>
      </c>
      <c r="G444" s="106">
        <f t="shared" si="338"/>
        <v>4.5826086956521737</v>
      </c>
      <c r="H444" s="106">
        <f t="shared" si="338"/>
        <v>3.7652173913043478</v>
      </c>
      <c r="I444" s="106">
        <f t="shared" si="338"/>
        <v>5.6565217391304348</v>
      </c>
      <c r="J444" s="266"/>
      <c r="K444" s="262"/>
      <c r="L444" s="143">
        <v>15</v>
      </c>
    </row>
    <row r="445" spans="2:12" s="1" customFormat="1" ht="14.25" customHeight="1" x14ac:dyDescent="0.25">
      <c r="B445" s="899" t="s">
        <v>381</v>
      </c>
      <c r="C445" s="900">
        <v>0</v>
      </c>
      <c r="D445" s="901">
        <v>0</v>
      </c>
      <c r="E445" s="901">
        <v>0</v>
      </c>
      <c r="F445" s="901">
        <v>0</v>
      </c>
      <c r="G445" s="901">
        <v>0</v>
      </c>
      <c r="H445" s="901">
        <v>0</v>
      </c>
      <c r="I445" s="901">
        <v>0</v>
      </c>
      <c r="J445" s="902"/>
      <c r="K445" s="903"/>
      <c r="L445" s="904"/>
    </row>
    <row r="446" spans="2:12" s="1" customFormat="1" ht="14.25" customHeight="1" x14ac:dyDescent="0.25">
      <c r="B446" s="899" t="s">
        <v>382</v>
      </c>
      <c r="C446" s="900">
        <v>661</v>
      </c>
      <c r="D446" s="901">
        <v>595</v>
      </c>
      <c r="E446" s="901">
        <v>424</v>
      </c>
      <c r="F446" s="901">
        <v>391</v>
      </c>
      <c r="G446" s="901">
        <v>906</v>
      </c>
      <c r="H446" s="901">
        <v>1430</v>
      </c>
      <c r="I446" s="901">
        <v>1378</v>
      </c>
      <c r="J446" s="902">
        <v>1378</v>
      </c>
      <c r="K446" s="903"/>
      <c r="L446" s="905">
        <v>230</v>
      </c>
    </row>
    <row r="447" spans="2:12" s="1" customFormat="1" ht="14.25" customHeight="1" x14ac:dyDescent="0.25">
      <c r="B447" s="899" t="s">
        <v>383</v>
      </c>
      <c r="C447" s="94">
        <f t="shared" ref="C447:I447" si="339">C294+C295</f>
        <v>0</v>
      </c>
      <c r="D447" s="83">
        <f t="shared" si="339"/>
        <v>0</v>
      </c>
      <c r="E447" s="83">
        <f t="shared" si="339"/>
        <v>0</v>
      </c>
      <c r="F447" s="83">
        <f t="shared" si="339"/>
        <v>530</v>
      </c>
      <c r="G447" s="83">
        <f t="shared" si="339"/>
        <v>633</v>
      </c>
      <c r="H447" s="83">
        <f t="shared" si="339"/>
        <v>0</v>
      </c>
      <c r="I447" s="83">
        <f t="shared" si="339"/>
        <v>0</v>
      </c>
      <c r="J447" s="95"/>
      <c r="K447" s="906"/>
      <c r="L447" s="905"/>
    </row>
    <row r="448" spans="2:12" s="1" customFormat="1" ht="14.25" customHeight="1" x14ac:dyDescent="0.25">
      <c r="B448" s="899" t="s">
        <v>384</v>
      </c>
      <c r="C448" s="263">
        <f>C446+C447-D446</f>
        <v>66</v>
      </c>
      <c r="D448" s="264">
        <f t="shared" ref="D448" si="340">D446+D447-E446</f>
        <v>171</v>
      </c>
      <c r="E448" s="264">
        <f t="shared" ref="E448" si="341">E446+E447-F446</f>
        <v>33</v>
      </c>
      <c r="F448" s="264">
        <f t="shared" ref="F448" si="342">F446+F447-G446</f>
        <v>15</v>
      </c>
      <c r="G448" s="264">
        <f t="shared" ref="G448" si="343">G446+G447-H446</f>
        <v>109</v>
      </c>
      <c r="H448" s="264">
        <f t="shared" ref="H448" si="344">H446+H447-I446</f>
        <v>52</v>
      </c>
      <c r="I448" s="264">
        <f t="shared" ref="I448" si="345">I446+I447-J446</f>
        <v>0</v>
      </c>
      <c r="J448" s="265"/>
      <c r="K448" s="906"/>
      <c r="L448" s="907" t="s">
        <v>97</v>
      </c>
    </row>
    <row r="449" spans="2:12" s="1" customFormat="1" ht="14.25" customHeight="1" x14ac:dyDescent="0.25">
      <c r="B449" s="899" t="s">
        <v>385</v>
      </c>
      <c r="C449" s="105">
        <f>C446/$L446</f>
        <v>2.8739130434782609</v>
      </c>
      <c r="D449" s="106">
        <f t="shared" ref="D449:I449" si="346">D446/$L446</f>
        <v>2.5869565217391304</v>
      </c>
      <c r="E449" s="106">
        <f t="shared" si="346"/>
        <v>1.8434782608695652</v>
      </c>
      <c r="F449" s="106">
        <f t="shared" si="346"/>
        <v>1.7</v>
      </c>
      <c r="G449" s="106">
        <f t="shared" si="346"/>
        <v>3.9391304347826086</v>
      </c>
      <c r="H449" s="106">
        <f t="shared" si="346"/>
        <v>6.2173913043478262</v>
      </c>
      <c r="I449" s="106">
        <f t="shared" si="346"/>
        <v>5.9913043478260866</v>
      </c>
      <c r="J449" s="266"/>
      <c r="K449" s="906"/>
      <c r="L449" s="908">
        <v>15</v>
      </c>
    </row>
    <row r="450" spans="2:12" s="1" customFormat="1" ht="14.25" customHeight="1" x14ac:dyDescent="0.25">
      <c r="B450" s="1011" t="s">
        <v>418</v>
      </c>
      <c r="C450" s="1012">
        <v>0</v>
      </c>
      <c r="D450" s="1013">
        <v>0</v>
      </c>
      <c r="E450" s="1013">
        <v>0</v>
      </c>
      <c r="F450" s="1013">
        <v>0</v>
      </c>
      <c r="G450" s="1013">
        <v>0</v>
      </c>
      <c r="H450" s="1013">
        <v>0</v>
      </c>
      <c r="I450" s="1013">
        <v>0</v>
      </c>
      <c r="J450" s="1014"/>
      <c r="K450" s="1015"/>
      <c r="L450" s="1016"/>
    </row>
    <row r="451" spans="2:12" s="1" customFormat="1" ht="14.25" customHeight="1" x14ac:dyDescent="0.25">
      <c r="B451" s="1011" t="s">
        <v>419</v>
      </c>
      <c r="C451" s="1012">
        <v>616</v>
      </c>
      <c r="D451" s="1013">
        <v>607</v>
      </c>
      <c r="E451" s="1013">
        <v>580</v>
      </c>
      <c r="F451" s="1013">
        <v>558</v>
      </c>
      <c r="G451" s="1013">
        <v>555</v>
      </c>
      <c r="H451" s="1013">
        <v>544</v>
      </c>
      <c r="I451" s="1013">
        <v>478</v>
      </c>
      <c r="J451" s="1014">
        <v>478</v>
      </c>
      <c r="K451" s="1015"/>
      <c r="L451" s="1017">
        <v>230</v>
      </c>
    </row>
    <row r="452" spans="2:12" s="1" customFormat="1" ht="14.25" customHeight="1" x14ac:dyDescent="0.25">
      <c r="B452" s="1011" t="s">
        <v>420</v>
      </c>
      <c r="C452" s="94">
        <f>C268+C269</f>
        <v>0</v>
      </c>
      <c r="D452" s="83">
        <f t="shared" ref="D452:I452" si="347">D268+D269</f>
        <v>0</v>
      </c>
      <c r="E452" s="83">
        <f t="shared" si="347"/>
        <v>0</v>
      </c>
      <c r="F452" s="83">
        <f t="shared" si="347"/>
        <v>0</v>
      </c>
      <c r="G452" s="83">
        <f t="shared" si="347"/>
        <v>0</v>
      </c>
      <c r="H452" s="83">
        <f t="shared" si="347"/>
        <v>0</v>
      </c>
      <c r="I452" s="83">
        <f t="shared" si="347"/>
        <v>0</v>
      </c>
      <c r="J452" s="95"/>
      <c r="K452" s="1018"/>
      <c r="L452" s="1017"/>
    </row>
    <row r="453" spans="2:12" s="1" customFormat="1" ht="14.25" customHeight="1" x14ac:dyDescent="0.25">
      <c r="B453" s="1011" t="s">
        <v>421</v>
      </c>
      <c r="C453" s="263">
        <f>C451+C452-D451</f>
        <v>9</v>
      </c>
      <c r="D453" s="264">
        <f t="shared" ref="D453" si="348">D451+D452-E451</f>
        <v>27</v>
      </c>
      <c r="E453" s="264">
        <f t="shared" ref="E453" si="349">E451+E452-F451</f>
        <v>22</v>
      </c>
      <c r="F453" s="264">
        <f t="shared" ref="F453" si="350">F451+F452-G451</f>
        <v>3</v>
      </c>
      <c r="G453" s="264">
        <f t="shared" ref="G453" si="351">G451+G452-H451</f>
        <v>11</v>
      </c>
      <c r="H453" s="264">
        <f t="shared" ref="H453" si="352">H451+H452-I451</f>
        <v>66</v>
      </c>
      <c r="I453" s="264">
        <f t="shared" ref="I453" si="353">I451+I452-J451</f>
        <v>0</v>
      </c>
      <c r="J453" s="265"/>
      <c r="K453" s="1018"/>
      <c r="L453" s="1019" t="s">
        <v>97</v>
      </c>
    </row>
    <row r="454" spans="2:12" s="1" customFormat="1" ht="14.25" customHeight="1" x14ac:dyDescent="0.25">
      <c r="B454" s="1011" t="s">
        <v>422</v>
      </c>
      <c r="C454" s="105">
        <f>C451/$L451</f>
        <v>2.6782608695652175</v>
      </c>
      <c r="D454" s="106">
        <f t="shared" ref="D454:I454" si="354">D451/$L451</f>
        <v>2.6391304347826088</v>
      </c>
      <c r="E454" s="106">
        <f t="shared" si="354"/>
        <v>2.5217391304347827</v>
      </c>
      <c r="F454" s="106">
        <f t="shared" si="354"/>
        <v>2.4260869565217393</v>
      </c>
      <c r="G454" s="106">
        <f t="shared" si="354"/>
        <v>2.4130434782608696</v>
      </c>
      <c r="H454" s="106">
        <f t="shared" si="354"/>
        <v>2.3652173913043479</v>
      </c>
      <c r="I454" s="106">
        <f t="shared" si="354"/>
        <v>2.0782608695652174</v>
      </c>
      <c r="J454" s="266"/>
      <c r="K454" s="1018"/>
      <c r="L454" s="1020">
        <v>15</v>
      </c>
    </row>
    <row r="455" spans="2:12" s="1" customFormat="1" ht="14.25" customHeight="1" x14ac:dyDescent="0.25">
      <c r="B455" s="1002" t="s">
        <v>423</v>
      </c>
      <c r="C455" s="1003">
        <v>0</v>
      </c>
      <c r="D455" s="1004">
        <v>0</v>
      </c>
      <c r="E455" s="1004">
        <v>0</v>
      </c>
      <c r="F455" s="1004">
        <v>0</v>
      </c>
      <c r="G455" s="1004">
        <v>0</v>
      </c>
      <c r="H455" s="1004">
        <v>0</v>
      </c>
      <c r="I455" s="1004">
        <v>0</v>
      </c>
      <c r="J455" s="1005"/>
      <c r="K455" s="1006"/>
      <c r="L455" s="1007"/>
    </row>
    <row r="456" spans="2:12" s="1" customFormat="1" ht="14.25" customHeight="1" x14ac:dyDescent="0.25">
      <c r="B456" s="1002" t="s">
        <v>424</v>
      </c>
      <c r="C456" s="1003">
        <v>296</v>
      </c>
      <c r="D456" s="1004">
        <v>266</v>
      </c>
      <c r="E456" s="1004">
        <v>212</v>
      </c>
      <c r="F456" s="1004">
        <v>273</v>
      </c>
      <c r="G456" s="1004">
        <v>515</v>
      </c>
      <c r="H456" s="1004">
        <v>394</v>
      </c>
      <c r="I456" s="1004">
        <v>342</v>
      </c>
      <c r="J456" s="1005">
        <v>342</v>
      </c>
      <c r="K456" s="1006"/>
      <c r="L456" s="1008">
        <v>230</v>
      </c>
    </row>
    <row r="457" spans="2:12" s="1" customFormat="1" ht="14.25" customHeight="1" x14ac:dyDescent="0.25">
      <c r="B457" s="1002" t="s">
        <v>425</v>
      </c>
      <c r="C457" s="94">
        <f>C281+C282</f>
        <v>0</v>
      </c>
      <c r="D457" s="83">
        <f t="shared" ref="D457:I457" si="355">D281+D282</f>
        <v>0</v>
      </c>
      <c r="E457" s="83">
        <f t="shared" si="355"/>
        <v>85</v>
      </c>
      <c r="F457" s="83">
        <f t="shared" si="355"/>
        <v>243</v>
      </c>
      <c r="G457" s="83">
        <f t="shared" si="355"/>
        <v>0</v>
      </c>
      <c r="H457" s="83">
        <f t="shared" si="355"/>
        <v>0</v>
      </c>
      <c r="I457" s="83">
        <f t="shared" si="355"/>
        <v>0</v>
      </c>
      <c r="J457" s="95"/>
      <c r="K457" s="681"/>
      <c r="L457" s="1008"/>
    </row>
    <row r="458" spans="2:12" s="1" customFormat="1" ht="14.25" customHeight="1" x14ac:dyDescent="0.25">
      <c r="B458" s="1002" t="s">
        <v>426</v>
      </c>
      <c r="C458" s="263">
        <f>C456+C457-D456</f>
        <v>30</v>
      </c>
      <c r="D458" s="264">
        <f t="shared" ref="D458" si="356">D456+D457-E456</f>
        <v>54</v>
      </c>
      <c r="E458" s="264">
        <f t="shared" ref="E458" si="357">E456+E457-F456</f>
        <v>24</v>
      </c>
      <c r="F458" s="264">
        <f t="shared" ref="F458" si="358">F456+F457-G456</f>
        <v>1</v>
      </c>
      <c r="G458" s="264">
        <f t="shared" ref="G458" si="359">G456+G457-H456</f>
        <v>121</v>
      </c>
      <c r="H458" s="264">
        <f t="shared" ref="H458" si="360">H456+H457-I456</f>
        <v>52</v>
      </c>
      <c r="I458" s="264">
        <f t="shared" ref="I458" si="361">I456+I457-J456</f>
        <v>0</v>
      </c>
      <c r="J458" s="265"/>
      <c r="K458" s="681"/>
      <c r="L458" s="1009" t="s">
        <v>97</v>
      </c>
    </row>
    <row r="459" spans="2:12" s="1" customFormat="1" ht="14.25" customHeight="1" x14ac:dyDescent="0.25">
      <c r="B459" s="1002" t="s">
        <v>427</v>
      </c>
      <c r="C459" s="105">
        <f>C456/$L456</f>
        <v>1.2869565217391303</v>
      </c>
      <c r="D459" s="106">
        <f t="shared" ref="D459:I459" si="362">D456/$L456</f>
        <v>1.1565217391304348</v>
      </c>
      <c r="E459" s="106">
        <f t="shared" si="362"/>
        <v>0.92173913043478262</v>
      </c>
      <c r="F459" s="106">
        <f t="shared" si="362"/>
        <v>1.1869565217391305</v>
      </c>
      <c r="G459" s="106">
        <f t="shared" si="362"/>
        <v>2.2391304347826089</v>
      </c>
      <c r="H459" s="106">
        <f t="shared" si="362"/>
        <v>1.7130434782608697</v>
      </c>
      <c r="I459" s="106">
        <f t="shared" si="362"/>
        <v>1.4869565217391305</v>
      </c>
      <c r="J459" s="266"/>
      <c r="K459" s="681"/>
      <c r="L459" s="1010">
        <v>15</v>
      </c>
    </row>
    <row r="460" spans="2:12" s="1" customFormat="1" x14ac:dyDescent="0.25"/>
    <row r="461" spans="2:12" ht="15.75" thickBot="1" x14ac:dyDescent="0.3">
      <c r="B461" s="394" t="s">
        <v>81</v>
      </c>
      <c r="C461" s="50">
        <f t="shared" ref="C461:K461" si="363">C8</f>
        <v>46062</v>
      </c>
      <c r="D461" s="50">
        <f t="shared" si="363"/>
        <v>46063</v>
      </c>
      <c r="E461" s="50">
        <f t="shared" si="363"/>
        <v>46064</v>
      </c>
      <c r="F461" s="50">
        <f t="shared" si="363"/>
        <v>46065</v>
      </c>
      <c r="G461" s="50">
        <f t="shared" si="363"/>
        <v>46066</v>
      </c>
      <c r="H461" s="50">
        <f t="shared" si="363"/>
        <v>46067</v>
      </c>
      <c r="I461" s="50">
        <f t="shared" si="363"/>
        <v>46068</v>
      </c>
      <c r="J461" s="50">
        <f t="shared" si="363"/>
        <v>46069</v>
      </c>
      <c r="K461" s="50" t="str">
        <f t="shared" si="363"/>
        <v>T Semanal</v>
      </c>
      <c r="L461" s="406" t="s">
        <v>99</v>
      </c>
    </row>
    <row r="462" spans="2:12" x14ac:dyDescent="0.25">
      <c r="B462" s="400" t="s">
        <v>82</v>
      </c>
      <c r="C462" s="407">
        <v>0</v>
      </c>
      <c r="D462" s="408">
        <v>0</v>
      </c>
      <c r="E462" s="408">
        <v>0</v>
      </c>
      <c r="F462" s="408">
        <v>0</v>
      </c>
      <c r="G462" s="408">
        <v>0</v>
      </c>
      <c r="H462" s="408">
        <v>0</v>
      </c>
      <c r="I462" s="408">
        <v>0</v>
      </c>
      <c r="J462" s="469">
        <v>0</v>
      </c>
      <c r="K462" s="420"/>
      <c r="L462" s="552" t="s">
        <v>100</v>
      </c>
    </row>
    <row r="463" spans="2:12" x14ac:dyDescent="0.25">
      <c r="B463" s="402" t="s">
        <v>83</v>
      </c>
      <c r="C463" s="415">
        <f t="shared" ref="C463:I463" si="364">C352</f>
        <v>0</v>
      </c>
      <c r="D463" s="84">
        <f t="shared" si="364"/>
        <v>0</v>
      </c>
      <c r="E463" s="84">
        <f t="shared" si="364"/>
        <v>0</v>
      </c>
      <c r="F463" s="84">
        <f t="shared" si="364"/>
        <v>0</v>
      </c>
      <c r="G463" s="84">
        <f t="shared" si="364"/>
        <v>0</v>
      </c>
      <c r="H463" s="84">
        <f t="shared" si="364"/>
        <v>0</v>
      </c>
      <c r="I463" s="84">
        <f t="shared" si="364"/>
        <v>0</v>
      </c>
      <c r="J463" s="416"/>
      <c r="K463" s="421">
        <f>SUM(C463:J463)</f>
        <v>0</v>
      </c>
      <c r="L463" s="559">
        <v>3</v>
      </c>
    </row>
    <row r="464" spans="2:12" x14ac:dyDescent="0.25">
      <c r="B464" s="402" t="s">
        <v>84</v>
      </c>
      <c r="C464" s="415">
        <f>C462+C463-D462</f>
        <v>0</v>
      </c>
      <c r="D464" s="84">
        <f t="shared" ref="D464:I464" si="365">D462+D463-E462</f>
        <v>0</v>
      </c>
      <c r="E464" s="84">
        <f t="shared" si="365"/>
        <v>0</v>
      </c>
      <c r="F464" s="84">
        <f t="shared" si="365"/>
        <v>0</v>
      </c>
      <c r="G464" s="84">
        <f t="shared" si="365"/>
        <v>0</v>
      </c>
      <c r="H464" s="84">
        <f t="shared" si="365"/>
        <v>0</v>
      </c>
      <c r="I464" s="84">
        <f t="shared" si="365"/>
        <v>0</v>
      </c>
      <c r="J464" s="416"/>
      <c r="K464" s="421">
        <f t="shared" ref="K464" si="366">SUM(C464:J464)</f>
        <v>0</v>
      </c>
      <c r="L464" s="551" t="s">
        <v>97</v>
      </c>
    </row>
    <row r="465" spans="2:14" ht="15.75" thickBot="1" x14ac:dyDescent="0.3">
      <c r="B465" s="403" t="s">
        <v>85</v>
      </c>
      <c r="C465" s="417">
        <f>C462/$L463</f>
        <v>0</v>
      </c>
      <c r="D465" s="418">
        <f t="shared" ref="D465:I465" si="367">D462/$L463</f>
        <v>0</v>
      </c>
      <c r="E465" s="418">
        <f t="shared" si="367"/>
        <v>0</v>
      </c>
      <c r="F465" s="418">
        <f t="shared" si="367"/>
        <v>0</v>
      </c>
      <c r="G465" s="418">
        <f t="shared" si="367"/>
        <v>0</v>
      </c>
      <c r="H465" s="418">
        <f t="shared" si="367"/>
        <v>0</v>
      </c>
      <c r="I465" s="418">
        <f t="shared" si="367"/>
        <v>0</v>
      </c>
      <c r="J465" s="419"/>
      <c r="K465" s="422"/>
      <c r="L465" s="560">
        <v>15</v>
      </c>
    </row>
    <row r="466" spans="2:14" s="114" customFormat="1" ht="3" customHeight="1" thickBot="1" x14ac:dyDescent="0.35">
      <c r="B466" s="115"/>
      <c r="C466" s="116"/>
      <c r="D466" s="117"/>
      <c r="E466" s="117"/>
      <c r="G466" s="115"/>
      <c r="H466" s="115"/>
      <c r="I466" s="116"/>
      <c r="J466" s="117"/>
      <c r="K466" s="117"/>
      <c r="L466" s="118"/>
      <c r="M466" s="113"/>
      <c r="N466" s="73"/>
    </row>
    <row r="467" spans="2:14" x14ac:dyDescent="0.25">
      <c r="B467" s="404" t="s">
        <v>106</v>
      </c>
      <c r="C467" s="470">
        <v>49</v>
      </c>
      <c r="D467" s="471">
        <v>30</v>
      </c>
      <c r="E467" s="471">
        <v>29</v>
      </c>
      <c r="F467" s="471">
        <v>54</v>
      </c>
      <c r="G467" s="471">
        <v>51</v>
      </c>
      <c r="H467" s="471">
        <v>70</v>
      </c>
      <c r="I467" s="471">
        <v>70</v>
      </c>
      <c r="J467" s="472">
        <v>70</v>
      </c>
      <c r="K467" s="423"/>
      <c r="L467" s="553" t="s">
        <v>98</v>
      </c>
    </row>
    <row r="468" spans="2:14" x14ac:dyDescent="0.25">
      <c r="B468" s="405" t="s">
        <v>107</v>
      </c>
      <c r="C468" s="415">
        <f t="shared" ref="C468:I468" si="368">C356</f>
        <v>48</v>
      </c>
      <c r="D468" s="84">
        <f t="shared" si="368"/>
        <v>54</v>
      </c>
      <c r="E468" s="84">
        <f t="shared" si="368"/>
        <v>61</v>
      </c>
      <c r="F468" s="84">
        <f t="shared" si="368"/>
        <v>36</v>
      </c>
      <c r="G468" s="84">
        <f t="shared" si="368"/>
        <v>60</v>
      </c>
      <c r="H468" s="84">
        <f t="shared" si="368"/>
        <v>0</v>
      </c>
      <c r="I468" s="84">
        <f t="shared" si="368"/>
        <v>0</v>
      </c>
      <c r="J468" s="416"/>
      <c r="K468" s="424">
        <f>SUM(C468:J468)</f>
        <v>259</v>
      </c>
      <c r="L468" s="561">
        <v>45</v>
      </c>
    </row>
    <row r="469" spans="2:14" x14ac:dyDescent="0.25">
      <c r="B469" s="405" t="s">
        <v>108</v>
      </c>
      <c r="C469" s="415">
        <f>C467+C468-D467</f>
        <v>67</v>
      </c>
      <c r="D469" s="84">
        <f t="shared" ref="D469:I469" si="369">D467+D468-E467</f>
        <v>55</v>
      </c>
      <c r="E469" s="84">
        <f t="shared" si="369"/>
        <v>36</v>
      </c>
      <c r="F469" s="84">
        <f t="shared" si="369"/>
        <v>39</v>
      </c>
      <c r="G469" s="84">
        <f t="shared" si="369"/>
        <v>41</v>
      </c>
      <c r="H469" s="84">
        <f t="shared" si="369"/>
        <v>0</v>
      </c>
      <c r="I469" s="84">
        <f t="shared" si="369"/>
        <v>0</v>
      </c>
      <c r="J469" s="416"/>
      <c r="K469" s="424">
        <f>SUM(C469:J469)</f>
        <v>238</v>
      </c>
      <c r="L469" s="556" t="s">
        <v>97</v>
      </c>
    </row>
    <row r="470" spans="2:14" ht="15.75" thickBot="1" x14ac:dyDescent="0.3">
      <c r="B470" s="401" t="s">
        <v>109</v>
      </c>
      <c r="C470" s="417">
        <f>C467/$L468</f>
        <v>1.0888888888888888</v>
      </c>
      <c r="D470" s="418">
        <f t="shared" ref="D470:I470" si="370">D467/$L468</f>
        <v>0.66666666666666663</v>
      </c>
      <c r="E470" s="418">
        <f t="shared" si="370"/>
        <v>0.64444444444444449</v>
      </c>
      <c r="F470" s="418">
        <f t="shared" si="370"/>
        <v>1.2</v>
      </c>
      <c r="G470" s="418">
        <f t="shared" si="370"/>
        <v>1.1333333333333333</v>
      </c>
      <c r="H470" s="418">
        <f t="shared" si="370"/>
        <v>1.5555555555555556</v>
      </c>
      <c r="I470" s="418">
        <f t="shared" si="370"/>
        <v>1.5555555555555556</v>
      </c>
      <c r="J470" s="419"/>
      <c r="K470" s="425"/>
      <c r="L470" s="562">
        <v>15</v>
      </c>
    </row>
    <row r="471" spans="2:14" s="114" customFormat="1" ht="3" customHeight="1" thickBot="1" x14ac:dyDescent="0.35">
      <c r="B471" s="115"/>
      <c r="C471" s="116"/>
      <c r="D471" s="117"/>
      <c r="E471" s="117"/>
      <c r="G471" s="115"/>
      <c r="H471" s="115"/>
      <c r="I471" s="116"/>
      <c r="J471" s="117"/>
      <c r="K471" s="117"/>
      <c r="L471" s="118"/>
      <c r="M471" s="113"/>
      <c r="N471" s="73"/>
    </row>
    <row r="472" spans="2:14" x14ac:dyDescent="0.25">
      <c r="B472" s="521" t="s">
        <v>117</v>
      </c>
      <c r="C472" s="524">
        <v>99</v>
      </c>
      <c r="D472" s="525">
        <v>99</v>
      </c>
      <c r="E472" s="525">
        <v>99</v>
      </c>
      <c r="F472" s="525">
        <v>99</v>
      </c>
      <c r="G472" s="525">
        <v>99</v>
      </c>
      <c r="H472" s="525">
        <v>99</v>
      </c>
      <c r="I472" s="525">
        <v>99</v>
      </c>
      <c r="J472" s="526">
        <v>99</v>
      </c>
      <c r="K472" s="527"/>
      <c r="L472" s="554" t="s">
        <v>98</v>
      </c>
    </row>
    <row r="473" spans="2:14" x14ac:dyDescent="0.25">
      <c r="B473" s="522" t="s">
        <v>118</v>
      </c>
      <c r="C473" s="415">
        <f t="shared" ref="C473:I473" si="371">C360</f>
        <v>0</v>
      </c>
      <c r="D473" s="84">
        <f t="shared" si="371"/>
        <v>0</v>
      </c>
      <c r="E473" s="84">
        <f t="shared" si="371"/>
        <v>0</v>
      </c>
      <c r="F473" s="84">
        <f t="shared" si="371"/>
        <v>0</v>
      </c>
      <c r="G473" s="84">
        <f t="shared" si="371"/>
        <v>0</v>
      </c>
      <c r="H473" s="84">
        <f t="shared" si="371"/>
        <v>0</v>
      </c>
      <c r="I473" s="84">
        <f t="shared" si="371"/>
        <v>0</v>
      </c>
      <c r="J473" s="416"/>
      <c r="K473" s="528">
        <f>SUM(C473:J473)</f>
        <v>0</v>
      </c>
      <c r="L473" s="563">
        <v>5</v>
      </c>
    </row>
    <row r="474" spans="2:14" x14ac:dyDescent="0.25">
      <c r="B474" s="522" t="s">
        <v>119</v>
      </c>
      <c r="C474" s="415">
        <f>C472+C473-D472</f>
        <v>0</v>
      </c>
      <c r="D474" s="84">
        <f t="shared" ref="D474" si="372">D472+D473-E472</f>
        <v>0</v>
      </c>
      <c r="E474" s="84">
        <f t="shared" ref="E474" si="373">E472+E473-F472</f>
        <v>0</v>
      </c>
      <c r="F474" s="84">
        <f t="shared" ref="F474" si="374">F472+F473-G472</f>
        <v>0</v>
      </c>
      <c r="G474" s="84">
        <f t="shared" ref="G474" si="375">G472+G473-H472</f>
        <v>0</v>
      </c>
      <c r="H474" s="84">
        <f t="shared" ref="H474" si="376">H472+H473-I472</f>
        <v>0</v>
      </c>
      <c r="I474" s="84">
        <f t="shared" ref="I474" si="377">I472+I473-J472</f>
        <v>0</v>
      </c>
      <c r="J474" s="416"/>
      <c r="K474" s="528">
        <f>SUM(C474:J474)</f>
        <v>0</v>
      </c>
      <c r="L474" s="557" t="s">
        <v>97</v>
      </c>
    </row>
    <row r="475" spans="2:14" ht="15.75" thickBot="1" x14ac:dyDescent="0.3">
      <c r="B475" s="523" t="s">
        <v>120</v>
      </c>
      <c r="C475" s="417">
        <f>C472/$L473</f>
        <v>19.8</v>
      </c>
      <c r="D475" s="418">
        <f t="shared" ref="D475:I475" si="378">D472/$L473</f>
        <v>19.8</v>
      </c>
      <c r="E475" s="418">
        <f t="shared" si="378"/>
        <v>19.8</v>
      </c>
      <c r="F475" s="418">
        <f t="shared" si="378"/>
        <v>19.8</v>
      </c>
      <c r="G475" s="418">
        <f t="shared" si="378"/>
        <v>19.8</v>
      </c>
      <c r="H475" s="418">
        <f t="shared" si="378"/>
        <v>19.8</v>
      </c>
      <c r="I475" s="418">
        <f t="shared" si="378"/>
        <v>19.8</v>
      </c>
      <c r="J475" s="419"/>
      <c r="K475" s="529"/>
      <c r="L475" s="564">
        <v>15</v>
      </c>
    </row>
    <row r="476" spans="2:14" s="114" customFormat="1" ht="3" customHeight="1" thickBot="1" x14ac:dyDescent="0.35">
      <c r="B476" s="115"/>
      <c r="C476" s="116"/>
      <c r="D476" s="117"/>
      <c r="E476" s="117"/>
      <c r="G476" s="115"/>
      <c r="H476" s="115"/>
      <c r="I476" s="116"/>
      <c r="J476" s="117"/>
      <c r="K476" s="117"/>
      <c r="L476" s="118"/>
      <c r="M476" s="113"/>
      <c r="N476" s="73"/>
    </row>
    <row r="477" spans="2:14" x14ac:dyDescent="0.25">
      <c r="B477" s="542" t="s">
        <v>93</v>
      </c>
      <c r="C477" s="545">
        <v>52</v>
      </c>
      <c r="D477" s="546">
        <v>80</v>
      </c>
      <c r="E477" s="546">
        <v>76</v>
      </c>
      <c r="F477" s="546">
        <v>61</v>
      </c>
      <c r="G477" s="546">
        <v>61</v>
      </c>
      <c r="H477" s="546">
        <v>45</v>
      </c>
      <c r="I477" s="546">
        <v>25</v>
      </c>
      <c r="J477" s="547">
        <v>25</v>
      </c>
      <c r="K477" s="548"/>
      <c r="L477" s="555" t="s">
        <v>98</v>
      </c>
    </row>
    <row r="478" spans="2:14" x14ac:dyDescent="0.25">
      <c r="B478" s="543" t="s">
        <v>94</v>
      </c>
      <c r="C478" s="415">
        <f>C364</f>
        <v>28</v>
      </c>
      <c r="D478" s="84">
        <f t="shared" ref="D478:I478" si="379">D364</f>
        <v>4</v>
      </c>
      <c r="E478" s="84">
        <f t="shared" si="379"/>
        <v>0</v>
      </c>
      <c r="F478" s="84">
        <f t="shared" si="379"/>
        <v>0</v>
      </c>
      <c r="G478" s="84">
        <f t="shared" si="379"/>
        <v>0</v>
      </c>
      <c r="H478" s="84">
        <f t="shared" si="379"/>
        <v>0</v>
      </c>
      <c r="I478" s="84">
        <f t="shared" si="379"/>
        <v>0</v>
      </c>
      <c r="J478" s="416"/>
      <c r="K478" s="549">
        <f>SUM(C478:J478)</f>
        <v>32</v>
      </c>
      <c r="L478" s="565">
        <v>8</v>
      </c>
    </row>
    <row r="479" spans="2:14" x14ac:dyDescent="0.25">
      <c r="B479" s="543" t="s">
        <v>95</v>
      </c>
      <c r="C479" s="415">
        <f>C477+C478-D477</f>
        <v>0</v>
      </c>
      <c r="D479" s="84">
        <f t="shared" ref="D479" si="380">D477+D478-E477</f>
        <v>8</v>
      </c>
      <c r="E479" s="84">
        <f t="shared" ref="E479" si="381">E477+E478-F477</f>
        <v>15</v>
      </c>
      <c r="F479" s="84">
        <f t="shared" ref="F479" si="382">F477+F478-G477</f>
        <v>0</v>
      </c>
      <c r="G479" s="84">
        <f t="shared" ref="G479" si="383">G477+G478-H477</f>
        <v>16</v>
      </c>
      <c r="H479" s="84">
        <f t="shared" ref="H479" si="384">H477+H478-I477</f>
        <v>20</v>
      </c>
      <c r="I479" s="84">
        <f t="shared" ref="I479" si="385">I477+I478-J477</f>
        <v>0</v>
      </c>
      <c r="J479" s="416"/>
      <c r="K479" s="549">
        <f>SUM(C479:J479)</f>
        <v>59</v>
      </c>
      <c r="L479" s="558" t="s">
        <v>97</v>
      </c>
    </row>
    <row r="480" spans="2:14" ht="15.75" thickBot="1" x14ac:dyDescent="0.3">
      <c r="B480" s="544" t="s">
        <v>96</v>
      </c>
      <c r="C480" s="417">
        <f>C477/$L478</f>
        <v>6.5</v>
      </c>
      <c r="D480" s="418">
        <f t="shared" ref="D480:I480" si="386">D477/$L478</f>
        <v>10</v>
      </c>
      <c r="E480" s="418">
        <f t="shared" si="386"/>
        <v>9.5</v>
      </c>
      <c r="F480" s="418">
        <f t="shared" si="386"/>
        <v>7.625</v>
      </c>
      <c r="G480" s="418">
        <f t="shared" si="386"/>
        <v>7.625</v>
      </c>
      <c r="H480" s="418">
        <f t="shared" si="386"/>
        <v>5.625</v>
      </c>
      <c r="I480" s="418">
        <f t="shared" si="386"/>
        <v>3.125</v>
      </c>
      <c r="J480" s="419"/>
      <c r="K480" s="550"/>
      <c r="L480" s="566">
        <v>15</v>
      </c>
    </row>
    <row r="481" spans="2:14" s="114" customFormat="1" ht="3" customHeight="1" thickBot="1" x14ac:dyDescent="0.35">
      <c r="B481" s="115"/>
      <c r="C481" s="116"/>
      <c r="D481" s="117"/>
      <c r="E481" s="117"/>
      <c r="G481" s="115"/>
      <c r="H481" s="115"/>
      <c r="I481" s="116"/>
      <c r="J481" s="117"/>
      <c r="K481" s="117"/>
      <c r="L481" s="118"/>
      <c r="M481" s="113"/>
      <c r="N481" s="73"/>
    </row>
    <row r="482" spans="2:14" x14ac:dyDescent="0.25">
      <c r="B482" s="909" t="s">
        <v>388</v>
      </c>
      <c r="C482" s="912">
        <v>0</v>
      </c>
      <c r="D482" s="913">
        <v>0</v>
      </c>
      <c r="E482" s="913">
        <v>0</v>
      </c>
      <c r="F482" s="913">
        <v>11</v>
      </c>
      <c r="G482" s="913">
        <v>14</v>
      </c>
      <c r="H482" s="913">
        <v>0</v>
      </c>
      <c r="I482" s="913">
        <v>0</v>
      </c>
      <c r="J482" s="914">
        <v>0</v>
      </c>
      <c r="K482" s="915"/>
      <c r="L482" s="916" t="s">
        <v>98</v>
      </c>
    </row>
    <row r="483" spans="2:14" x14ac:dyDescent="0.25">
      <c r="B483" s="910" t="s">
        <v>389</v>
      </c>
      <c r="C483" s="415">
        <f>C367</f>
        <v>0</v>
      </c>
      <c r="D483" s="84">
        <f t="shared" ref="D483:I483" si="387">D367</f>
        <v>0</v>
      </c>
      <c r="E483" s="84">
        <f t="shared" si="387"/>
        <v>11</v>
      </c>
      <c r="F483" s="84">
        <f t="shared" si="387"/>
        <v>29</v>
      </c>
      <c r="G483" s="84">
        <f t="shared" si="387"/>
        <v>4</v>
      </c>
      <c r="H483" s="84">
        <f t="shared" si="387"/>
        <v>0</v>
      </c>
      <c r="I483" s="84">
        <f t="shared" si="387"/>
        <v>0</v>
      </c>
      <c r="J483" s="416"/>
      <c r="K483" s="917">
        <f>SUM(C483:J483)</f>
        <v>44</v>
      </c>
      <c r="L483" s="918">
        <v>8</v>
      </c>
    </row>
    <row r="484" spans="2:14" x14ac:dyDescent="0.25">
      <c r="B484" s="910" t="s">
        <v>390</v>
      </c>
      <c r="C484" s="415">
        <f>C482+C483-D482</f>
        <v>0</v>
      </c>
      <c r="D484" s="84">
        <f t="shared" ref="D484" si="388">D482+D483-E482</f>
        <v>0</v>
      </c>
      <c r="E484" s="84">
        <f t="shared" ref="E484" si="389">E482+E483-F482</f>
        <v>0</v>
      </c>
      <c r="F484" s="84">
        <f t="shared" ref="F484" si="390">F482+F483-G482</f>
        <v>26</v>
      </c>
      <c r="G484" s="84">
        <f t="shared" ref="G484" si="391">G482+G483-H482</f>
        <v>18</v>
      </c>
      <c r="H484" s="84">
        <f t="shared" ref="H484" si="392">H482+H483-I482</f>
        <v>0</v>
      </c>
      <c r="I484" s="84">
        <f t="shared" ref="I484" si="393">I482+I483-J482</f>
        <v>0</v>
      </c>
      <c r="J484" s="416"/>
      <c r="K484" s="917">
        <f>SUM(C484:J484)</f>
        <v>44</v>
      </c>
      <c r="L484" s="919" t="s">
        <v>97</v>
      </c>
    </row>
    <row r="485" spans="2:14" ht="15.75" thickBot="1" x14ac:dyDescent="0.3">
      <c r="B485" s="911" t="s">
        <v>391</v>
      </c>
      <c r="C485" s="417">
        <f>C482/$L483</f>
        <v>0</v>
      </c>
      <c r="D485" s="418">
        <f t="shared" ref="D485:I485" si="394">D482/$L483</f>
        <v>0</v>
      </c>
      <c r="E485" s="418">
        <f t="shared" si="394"/>
        <v>0</v>
      </c>
      <c r="F485" s="418">
        <f t="shared" si="394"/>
        <v>1.375</v>
      </c>
      <c r="G485" s="418">
        <f t="shared" si="394"/>
        <v>1.75</v>
      </c>
      <c r="H485" s="418">
        <f t="shared" si="394"/>
        <v>0</v>
      </c>
      <c r="I485" s="418">
        <f t="shared" si="394"/>
        <v>0</v>
      </c>
      <c r="J485" s="419"/>
      <c r="K485" s="920"/>
      <c r="L485" s="921">
        <v>15</v>
      </c>
    </row>
    <row r="486" spans="2:14" s="114" customFormat="1" ht="3" customHeight="1" thickBot="1" x14ac:dyDescent="0.35">
      <c r="B486" s="115"/>
      <c r="C486" s="116"/>
      <c r="D486" s="117"/>
      <c r="E486" s="117"/>
      <c r="G486" s="115"/>
      <c r="H486" s="115"/>
      <c r="I486" s="116"/>
      <c r="J486" s="117"/>
      <c r="K486" s="117"/>
      <c r="L486" s="118"/>
      <c r="M486" s="113"/>
      <c r="N486" s="73"/>
    </row>
    <row r="487" spans="2:14" x14ac:dyDescent="0.25">
      <c r="B487" s="1021" t="s">
        <v>428</v>
      </c>
      <c r="C487" s="1024">
        <v>0</v>
      </c>
      <c r="D487" s="1025">
        <v>0</v>
      </c>
      <c r="E487" s="1025">
        <v>0</v>
      </c>
      <c r="F487" s="1025">
        <v>0</v>
      </c>
      <c r="G487" s="1025">
        <v>0</v>
      </c>
      <c r="H487" s="1025">
        <v>0</v>
      </c>
      <c r="I487" s="1025">
        <v>0</v>
      </c>
      <c r="J487" s="1026">
        <v>0</v>
      </c>
      <c r="K487" s="1027"/>
      <c r="L487" s="1028" t="s">
        <v>98</v>
      </c>
    </row>
    <row r="488" spans="2:14" x14ac:dyDescent="0.25">
      <c r="B488" s="1022" t="s">
        <v>429</v>
      </c>
      <c r="C488" s="415">
        <f>C371</f>
        <v>0</v>
      </c>
      <c r="D488" s="84">
        <f t="shared" ref="D488:I488" si="395">D371</f>
        <v>0</v>
      </c>
      <c r="E488" s="84">
        <f t="shared" si="395"/>
        <v>0</v>
      </c>
      <c r="F488" s="84">
        <f t="shared" si="395"/>
        <v>0</v>
      </c>
      <c r="G488" s="84">
        <f t="shared" si="395"/>
        <v>0</v>
      </c>
      <c r="H488" s="84">
        <f t="shared" si="395"/>
        <v>0</v>
      </c>
      <c r="I488" s="84">
        <f t="shared" si="395"/>
        <v>0</v>
      </c>
      <c r="J488" s="416"/>
      <c r="K488" s="1029">
        <f>SUM(C488:J488)</f>
        <v>0</v>
      </c>
      <c r="L488" s="1030">
        <v>8</v>
      </c>
    </row>
    <row r="489" spans="2:14" x14ac:dyDescent="0.25">
      <c r="B489" s="1022" t="s">
        <v>430</v>
      </c>
      <c r="C489" s="415">
        <f>C487+C488-D487</f>
        <v>0</v>
      </c>
      <c r="D489" s="84">
        <f t="shared" ref="D489" si="396">D487+D488-E487</f>
        <v>0</v>
      </c>
      <c r="E489" s="84">
        <f t="shared" ref="E489" si="397">E487+E488-F487</f>
        <v>0</v>
      </c>
      <c r="F489" s="84">
        <f t="shared" ref="F489" si="398">F487+F488-G487</f>
        <v>0</v>
      </c>
      <c r="G489" s="84">
        <f t="shared" ref="G489" si="399">G487+G488-H487</f>
        <v>0</v>
      </c>
      <c r="H489" s="84">
        <f t="shared" ref="H489" si="400">H487+H488-I487</f>
        <v>0</v>
      </c>
      <c r="I489" s="84">
        <f t="shared" ref="I489" si="401">I487+I488-J487</f>
        <v>0</v>
      </c>
      <c r="J489" s="416"/>
      <c r="K489" s="1029">
        <f>SUM(C489:J489)</f>
        <v>0</v>
      </c>
      <c r="L489" s="1031" t="s">
        <v>97</v>
      </c>
    </row>
    <row r="490" spans="2:14" ht="15.75" thickBot="1" x14ac:dyDescent="0.3">
      <c r="B490" s="1023" t="s">
        <v>431</v>
      </c>
      <c r="C490" s="417">
        <f>C487/$L488</f>
        <v>0</v>
      </c>
      <c r="D490" s="418">
        <f t="shared" ref="D490:I490" si="402">D487/$L488</f>
        <v>0</v>
      </c>
      <c r="E490" s="418">
        <f t="shared" si="402"/>
        <v>0</v>
      </c>
      <c r="F490" s="418">
        <f t="shared" si="402"/>
        <v>0</v>
      </c>
      <c r="G490" s="418">
        <f t="shared" si="402"/>
        <v>0</v>
      </c>
      <c r="H490" s="418">
        <f t="shared" si="402"/>
        <v>0</v>
      </c>
      <c r="I490" s="418">
        <f t="shared" si="402"/>
        <v>0</v>
      </c>
      <c r="J490" s="419"/>
      <c r="K490" s="1032"/>
      <c r="L490" s="1033">
        <v>15</v>
      </c>
    </row>
    <row r="491" spans="2:14" s="114" customFormat="1" ht="3" customHeight="1" thickBot="1" x14ac:dyDescent="0.35">
      <c r="B491" s="115"/>
      <c r="C491" s="116"/>
      <c r="D491" s="117"/>
      <c r="E491" s="117"/>
      <c r="G491" s="115"/>
      <c r="H491" s="115"/>
      <c r="I491" s="116"/>
      <c r="J491" s="117"/>
      <c r="K491" s="117"/>
      <c r="L491" s="118"/>
      <c r="M491" s="113"/>
      <c r="N491" s="73"/>
    </row>
    <row r="492" spans="2:14" x14ac:dyDescent="0.25">
      <c r="B492" s="1034" t="s">
        <v>432</v>
      </c>
      <c r="C492" s="1037">
        <v>0</v>
      </c>
      <c r="D492" s="1038">
        <v>0</v>
      </c>
      <c r="E492" s="1038">
        <v>10</v>
      </c>
      <c r="F492" s="1038">
        <v>3</v>
      </c>
      <c r="G492" s="1038">
        <v>0</v>
      </c>
      <c r="H492" s="1038">
        <v>10</v>
      </c>
      <c r="I492" s="1038">
        <v>19</v>
      </c>
      <c r="J492" s="1039">
        <v>19</v>
      </c>
      <c r="K492" s="1040"/>
      <c r="L492" s="1041" t="s">
        <v>98</v>
      </c>
    </row>
    <row r="493" spans="2:14" x14ac:dyDescent="0.25">
      <c r="B493" s="1035" t="s">
        <v>433</v>
      </c>
      <c r="C493" s="415">
        <f>C375</f>
        <v>0</v>
      </c>
      <c r="D493" s="84">
        <f t="shared" ref="D493:I493" si="403">D375</f>
        <v>10</v>
      </c>
      <c r="E493" s="84">
        <f t="shared" si="403"/>
        <v>2</v>
      </c>
      <c r="F493" s="84">
        <f t="shared" si="403"/>
        <v>0</v>
      </c>
      <c r="G493" s="84">
        <f t="shared" si="403"/>
        <v>10</v>
      </c>
      <c r="H493" s="84">
        <f t="shared" si="403"/>
        <v>9</v>
      </c>
      <c r="I493" s="84">
        <f t="shared" si="403"/>
        <v>0</v>
      </c>
      <c r="J493" s="416"/>
      <c r="K493" s="583">
        <f>SUM(C493:J493)</f>
        <v>31</v>
      </c>
      <c r="L493" s="1042">
        <v>8</v>
      </c>
    </row>
    <row r="494" spans="2:14" x14ac:dyDescent="0.25">
      <c r="B494" s="1035" t="s">
        <v>434</v>
      </c>
      <c r="C494" s="415">
        <f>C492+C493-D492</f>
        <v>0</v>
      </c>
      <c r="D494" s="84">
        <f t="shared" ref="D494" si="404">D492+D493-E492</f>
        <v>0</v>
      </c>
      <c r="E494" s="84">
        <f t="shared" ref="E494" si="405">E492+E493-F492</f>
        <v>9</v>
      </c>
      <c r="F494" s="84">
        <f t="shared" ref="F494" si="406">F492+F493-G492</f>
        <v>3</v>
      </c>
      <c r="G494" s="84">
        <f t="shared" ref="G494" si="407">G492+G493-H492</f>
        <v>0</v>
      </c>
      <c r="H494" s="84">
        <f t="shared" ref="H494" si="408">H492+H493-I492</f>
        <v>0</v>
      </c>
      <c r="I494" s="84">
        <f t="shared" ref="I494" si="409">I492+I493-J492</f>
        <v>0</v>
      </c>
      <c r="J494" s="416"/>
      <c r="K494" s="583">
        <f>SUM(C494:J494)</f>
        <v>12</v>
      </c>
      <c r="L494" s="1043" t="s">
        <v>97</v>
      </c>
    </row>
    <row r="495" spans="2:14" ht="15.75" thickBot="1" x14ac:dyDescent="0.3">
      <c r="B495" s="1036" t="s">
        <v>435</v>
      </c>
      <c r="C495" s="417">
        <f>C492/$L493</f>
        <v>0</v>
      </c>
      <c r="D495" s="418">
        <f t="shared" ref="D495:I495" si="410">D492/$L493</f>
        <v>0</v>
      </c>
      <c r="E495" s="418">
        <f t="shared" si="410"/>
        <v>1.25</v>
      </c>
      <c r="F495" s="418">
        <f t="shared" si="410"/>
        <v>0.375</v>
      </c>
      <c r="G495" s="418">
        <f t="shared" si="410"/>
        <v>0</v>
      </c>
      <c r="H495" s="418">
        <f t="shared" si="410"/>
        <v>1.25</v>
      </c>
      <c r="I495" s="418">
        <f t="shared" si="410"/>
        <v>2.375</v>
      </c>
      <c r="J495" s="419"/>
      <c r="K495" s="1044"/>
      <c r="L495" s="1045">
        <v>15</v>
      </c>
    </row>
    <row r="496" spans="2:14" x14ac:dyDescent="0.25">
      <c r="B496" s="1" t="s">
        <v>13</v>
      </c>
    </row>
  </sheetData>
  <sheetProtection algorithmName="SHA-512" hashValue="Dwyi6hQhr6kNOWpcJTHjkBk1GBlfL90V4przB2+v0vV7XVub0sS6vLLn2UE3aAdomcl57yplrpPRKKu83joihg==" saltValue="wQaDYCCELuOZTmkbgOBm4A==" spinCount="100000" sheet="1" formatCells="0" formatColumns="0" formatRows="0" insertColumns="0" insertRows="0" insertHyperlinks="0" deleteColumns="0" deleteRows="0" sort="0" autoFilter="0" pivotTables="0"/>
  <protectedRanges>
    <protectedRange sqref="M86:O92" name="Plan filtros semanas"/>
    <protectedRange sqref="M9:O36" name="Plan soft semanas"/>
    <protectedRange sqref="C462:J462 C467:J467 C472:J472 C477:J477 C482:J482 C487:J487 C492:J492" name="Stock real filtros"/>
    <protectedRange sqref="C86:J92 M86:O92" name="Plan Filtros"/>
    <protectedRange sqref="C390:J391 C395:J396 C400:J401 C405:J406 C415:J416 C420:J421 C425:J426 C430:J431 C435:J436 C440:J441 C410:J411 C445:J446 C450:J451 C455:J456" name="Stock"/>
    <protectedRange sqref="C113:J116 C126:J129 C139:J142 C152:J155 C178:J181 C191:J194 C216:J219 C229:J232 C242:J245 C255:J258 C165:J168 C294:J297 C268:J271 C281:J284" name="Producción Real"/>
    <protectedRange sqref="D6" name="Fecha"/>
    <protectedRange sqref="E4" name="Versión"/>
    <protectedRange sqref="C9:J36" name="Plan KS"/>
    <protectedRange sqref="C41:J68" name="Plan Box"/>
    <protectedRange sqref="C333 C334:I334" name="Bateas en carros"/>
    <protectedRange sqref="C337:J339" name="Consumo real tabaco"/>
    <protectedRange sqref="C345:J346" name="Consumo real filtros"/>
    <protectedRange sqref="C352:J352 C356:J356 C360:J360 C364:J364 C367:J367 C371:J371 C375:J375" name="Prod real Filtros"/>
    <protectedRange sqref="M41:O68" name="Plan box semanas"/>
  </protectedRanges>
  <mergeCells count="4">
    <mergeCell ref="B2:C2"/>
    <mergeCell ref="B102:C102"/>
    <mergeCell ref="B383:C383"/>
    <mergeCell ref="C343:J343"/>
  </mergeCells>
  <phoneticPr fontId="3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zoomScale="80" zoomScaleNormal="80" workbookViewId="0">
      <selection activeCell="M10" sqref="M10"/>
    </sheetView>
  </sheetViews>
  <sheetFormatPr baseColWidth="10" defaultColWidth="10.75" defaultRowHeight="14.25" x14ac:dyDescent="0.2"/>
  <cols>
    <col min="1" max="1" width="10.75" customWidth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4856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73" sqref="H73"/>
    </sheetView>
  </sheetViews>
  <sheetFormatPr baseColWidth="10" defaultColWidth="10.75" defaultRowHeight="15" x14ac:dyDescent="0.25"/>
  <cols>
    <col min="1" max="1" width="45.625" style="743" customWidth="1"/>
    <col min="2" max="2" width="39.25" style="743" customWidth="1"/>
    <col min="3" max="3" width="8" style="743" customWidth="1"/>
    <col min="4" max="4" width="16.75" style="743" bestFit="1" customWidth="1"/>
    <col min="5" max="5" width="9.875" style="743" customWidth="1"/>
    <col min="6" max="6" width="11.125" style="743" customWidth="1"/>
    <col min="7" max="7" width="1.625" style="743" customWidth="1"/>
    <col min="8" max="8" width="11.75" style="743" bestFit="1" customWidth="1"/>
    <col min="9" max="9" width="14.625" style="743" customWidth="1"/>
    <col min="10" max="10" width="1.625" style="743" customWidth="1"/>
    <col min="11" max="11" width="19.75" style="743" customWidth="1"/>
    <col min="12" max="12" width="1.625" style="743" customWidth="1"/>
    <col min="13" max="13" width="16" style="771" customWidth="1"/>
    <col min="14" max="14" width="15.875" style="741" customWidth="1"/>
    <col min="15" max="15" width="1.625" style="796" customWidth="1"/>
    <col min="16" max="17" width="6.75" style="743" customWidth="1"/>
    <col min="18" max="18" width="8.125" style="743" customWidth="1"/>
    <col min="19" max="20" width="6.75" style="743" customWidth="1"/>
    <col min="21" max="21" width="7.875" style="743" bestFit="1" customWidth="1"/>
    <col min="22" max="22" width="7.625" style="743" bestFit="1" customWidth="1"/>
    <col min="23" max="24" width="7.625" style="743" customWidth="1"/>
    <col min="25" max="26" width="6.75" style="743" customWidth="1"/>
    <col min="27" max="27" width="7.875" style="743" bestFit="1" customWidth="1"/>
    <col min="28" max="29" width="6.75" style="743" customWidth="1"/>
    <col min="30" max="36" width="8.125" style="743" customWidth="1"/>
    <col min="37" max="37" width="9" style="743" customWidth="1"/>
    <col min="38" max="39" width="8.375" style="743" customWidth="1"/>
    <col min="40" max="40" width="10.625" style="743" bestFit="1" customWidth="1"/>
    <col min="41" max="41" width="9.125" style="743" customWidth="1"/>
    <col min="42" max="42" width="10.125" style="743" customWidth="1"/>
    <col min="43" max="43" width="8.375" style="743" customWidth="1"/>
    <col min="44" max="45" width="8.625" style="743" customWidth="1"/>
    <col min="46" max="16384" width="10.75" style="743"/>
  </cols>
  <sheetData>
    <row r="1" spans="1:45" ht="15.75" thickBot="1" x14ac:dyDescent="0.3">
      <c r="A1" s="1061" t="s">
        <v>225</v>
      </c>
      <c r="B1" s="1062"/>
      <c r="C1" s="1063" t="s">
        <v>226</v>
      </c>
      <c r="D1" s="1063"/>
      <c r="E1" s="1063"/>
      <c r="F1" s="1063"/>
      <c r="G1" s="739"/>
      <c r="H1" s="1064" t="s">
        <v>227</v>
      </c>
      <c r="I1" s="1064"/>
      <c r="J1" s="738"/>
      <c r="K1" s="740" t="s">
        <v>228</v>
      </c>
      <c r="L1" s="741"/>
      <c r="M1" s="1065" t="s">
        <v>229</v>
      </c>
      <c r="N1" s="1065"/>
      <c r="O1" s="742"/>
      <c r="P1" s="1066" t="s">
        <v>230</v>
      </c>
      <c r="Q1" s="1067"/>
      <c r="R1" s="1067"/>
      <c r="S1" s="1067"/>
      <c r="T1" s="1067"/>
      <c r="U1" s="1067"/>
      <c r="V1" s="1067"/>
      <c r="W1" s="1067"/>
      <c r="X1" s="1067"/>
      <c r="Y1" s="1067"/>
      <c r="Z1" s="1067"/>
      <c r="AA1" s="1067"/>
      <c r="AB1" s="1067"/>
      <c r="AC1" s="1067"/>
      <c r="AD1" s="1067"/>
      <c r="AE1" s="1067"/>
      <c r="AF1" s="1067"/>
      <c r="AG1" s="1067"/>
      <c r="AH1" s="1067"/>
      <c r="AI1" s="1067"/>
      <c r="AJ1" s="1067"/>
      <c r="AK1" s="1067"/>
      <c r="AL1" s="1067"/>
      <c r="AM1" s="1067"/>
      <c r="AN1" s="1067"/>
      <c r="AO1" s="1067"/>
      <c r="AP1" s="1067"/>
      <c r="AQ1" s="1067"/>
      <c r="AR1" s="1067"/>
      <c r="AS1" s="1068"/>
    </row>
    <row r="2" spans="1:45" ht="15.75" thickBot="1" x14ac:dyDescent="0.3">
      <c r="A2" s="744" t="s">
        <v>231</v>
      </c>
      <c r="B2" s="745" t="s">
        <v>232</v>
      </c>
      <c r="C2" s="746" t="s">
        <v>233</v>
      </c>
      <c r="D2" s="746" t="s">
        <v>234</v>
      </c>
      <c r="E2" s="746" t="s">
        <v>235</v>
      </c>
      <c r="F2" s="746" t="s">
        <v>234</v>
      </c>
      <c r="G2" s="747"/>
      <c r="H2" s="748" t="s">
        <v>236</v>
      </c>
      <c r="I2" s="748" t="s">
        <v>234</v>
      </c>
      <c r="J2" s="749"/>
      <c r="K2" s="750" t="s">
        <v>237</v>
      </c>
      <c r="L2" s="749"/>
      <c r="M2" s="751" t="s">
        <v>238</v>
      </c>
      <c r="N2" s="752" t="s">
        <v>239</v>
      </c>
      <c r="O2" s="753"/>
      <c r="P2" s="754" t="s">
        <v>240</v>
      </c>
      <c r="Q2" s="755" t="s">
        <v>241</v>
      </c>
      <c r="R2" s="756" t="s">
        <v>242</v>
      </c>
      <c r="S2" s="757" t="s">
        <v>243</v>
      </c>
      <c r="T2" s="758" t="s">
        <v>241</v>
      </c>
      <c r="U2" s="759" t="s">
        <v>242</v>
      </c>
      <c r="V2" s="760" t="s">
        <v>244</v>
      </c>
      <c r="W2" s="761" t="s">
        <v>241</v>
      </c>
      <c r="X2" s="762" t="s">
        <v>242</v>
      </c>
      <c r="Y2" s="757" t="s">
        <v>245</v>
      </c>
      <c r="Z2" s="758" t="s">
        <v>241</v>
      </c>
      <c r="AA2" s="759" t="s">
        <v>242</v>
      </c>
      <c r="AB2" s="754" t="s">
        <v>246</v>
      </c>
      <c r="AC2" s="755" t="s">
        <v>241</v>
      </c>
      <c r="AD2" s="756" t="s">
        <v>242</v>
      </c>
      <c r="AE2" s="754" t="s">
        <v>247</v>
      </c>
      <c r="AF2" s="755" t="s">
        <v>241</v>
      </c>
      <c r="AG2" s="756" t="s">
        <v>242</v>
      </c>
      <c r="AH2" s="754" t="s">
        <v>248</v>
      </c>
      <c r="AI2" s="755" t="s">
        <v>241</v>
      </c>
      <c r="AJ2" s="756" t="s">
        <v>242</v>
      </c>
      <c r="AK2" s="763" t="s">
        <v>221</v>
      </c>
      <c r="AL2" s="764" t="s">
        <v>249</v>
      </c>
      <c r="AM2" s="765" t="s">
        <v>242</v>
      </c>
      <c r="AN2" s="763" t="s">
        <v>222</v>
      </c>
      <c r="AO2" s="764" t="s">
        <v>250</v>
      </c>
      <c r="AP2" s="765" t="s">
        <v>242</v>
      </c>
      <c r="AQ2" s="763" t="s">
        <v>223</v>
      </c>
      <c r="AR2" s="764" t="s">
        <v>251</v>
      </c>
      <c r="AS2" s="766" t="s">
        <v>242</v>
      </c>
    </row>
    <row r="3" spans="1:45" x14ac:dyDescent="0.25">
      <c r="A3" s="767" t="s">
        <v>252</v>
      </c>
      <c r="B3" s="767" t="s">
        <v>252</v>
      </c>
      <c r="C3" s="768">
        <v>1</v>
      </c>
      <c r="D3" s="768" t="s">
        <v>253</v>
      </c>
      <c r="E3" s="768">
        <v>40</v>
      </c>
      <c r="F3" s="768" t="s">
        <v>254</v>
      </c>
      <c r="H3" s="769">
        <v>273</v>
      </c>
      <c r="I3" s="770" t="s">
        <v>253</v>
      </c>
      <c r="J3" s="771"/>
      <c r="K3" s="772">
        <f t="shared" ref="K3:K7" si="0">(H3*E3)/C3</f>
        <v>10920</v>
      </c>
      <c r="L3" s="771"/>
      <c r="M3" s="773">
        <v>250</v>
      </c>
      <c r="N3" s="774">
        <f>K3/M3</f>
        <v>43.68</v>
      </c>
      <c r="O3" s="775"/>
      <c r="P3" s="776">
        <f>'Plan - Semanal'!$C$9+'Plan - Semanal'!$C$10+'Plan - Semanal'!$C$11+'Plan - Semanal'!$C$12</f>
        <v>0</v>
      </c>
      <c r="Q3" s="777">
        <f t="shared" ref="Q3:Q7" si="1">K3-P3</f>
        <v>10920</v>
      </c>
      <c r="R3" s="843">
        <f>Q3/$M3</f>
        <v>43.68</v>
      </c>
      <c r="S3" s="844">
        <f>'Plan - Semanal'!$D$9+'Plan - Semanal'!$D$10+'Plan - Semanal'!$D$11+'Plan - Semanal'!$D$12</f>
        <v>0</v>
      </c>
      <c r="T3" s="788">
        <f>Q3-S3</f>
        <v>10920</v>
      </c>
      <c r="U3" s="843">
        <f>T3/$M3</f>
        <v>43.68</v>
      </c>
      <c r="V3" s="782">
        <f>'Plan - Semanal'!$E$9+'Plan - Semanal'!$E$10+'Plan - Semanal'!$E$11+'Plan - Semanal'!$E$12</f>
        <v>0</v>
      </c>
      <c r="W3" s="790">
        <f>T3-V3</f>
        <v>10920</v>
      </c>
      <c r="X3" s="843">
        <f>W3/$M3</f>
        <v>43.68</v>
      </c>
      <c r="Y3" s="844">
        <f>'Plan - Semanal'!$F$9+'Plan - Semanal'!$F$10+'Plan - Semanal'!$F$11+'Plan - Semanal'!$F$12</f>
        <v>0</v>
      </c>
      <c r="Z3" s="788">
        <f>W3-Y3</f>
        <v>10920</v>
      </c>
      <c r="AA3" s="843">
        <f>Z3/$M3</f>
        <v>43.68</v>
      </c>
      <c r="AB3" s="776">
        <f>'Plan - Semanal'!$G$9+'Plan - Semanal'!$G$10+'Plan - Semanal'!$G$11+'Plan - Semanal'!$G$12</f>
        <v>0</v>
      </c>
      <c r="AC3" s="777">
        <f t="shared" ref="AC3:AC6" si="2">Z3-AB3</f>
        <v>10920</v>
      </c>
      <c r="AD3" s="843">
        <f>AC3/$M3</f>
        <v>43.68</v>
      </c>
      <c r="AE3" s="776">
        <f>'Plan - Semanal'!$H$9+'Plan - Semanal'!$H$10+'Plan - Semanal'!$H$11+'Plan - Semanal'!$H$12</f>
        <v>0</v>
      </c>
      <c r="AF3" s="777">
        <f>AC3-AE3</f>
        <v>10920</v>
      </c>
      <c r="AG3" s="802">
        <f>AF3/$M3</f>
        <v>43.68</v>
      </c>
      <c r="AH3" s="776">
        <f>'Plan - Semanal'!$I$9+'Plan - Semanal'!$I$10+'Plan - Semanal'!$I$11+'Plan - Semanal'!$I$12</f>
        <v>0</v>
      </c>
      <c r="AI3" s="777">
        <f t="shared" ref="AI3:AI6" si="3">AF3-AH3</f>
        <v>10920</v>
      </c>
      <c r="AJ3" s="802">
        <f>AI3/$M3</f>
        <v>43.68</v>
      </c>
      <c r="AK3" s="783">
        <f>'Plan - Semanal'!$M$9+'Plan - Semanal'!$M$10+'Plan - Semanal'!$M$11+'Plan - Semanal'!$M$12</f>
        <v>0</v>
      </c>
      <c r="AL3" s="792">
        <f t="shared" ref="AL3:AL6" si="4">AI3-AK3</f>
        <v>10920</v>
      </c>
      <c r="AM3" s="843">
        <f>AL3/$M3</f>
        <v>43.68</v>
      </c>
      <c r="AN3" s="783">
        <f>'Plan - Semanal'!$N$9+'Plan - Semanal'!$N$10+'Plan - Semanal'!$N$11+'Plan - Semanal'!$N$12</f>
        <v>0</v>
      </c>
      <c r="AO3" s="792">
        <f>AL3-AN3</f>
        <v>10920</v>
      </c>
      <c r="AP3" s="843">
        <f>AO3/$M3</f>
        <v>43.68</v>
      </c>
      <c r="AQ3" s="783">
        <f>'Plan - Semanal'!$O$9+'Plan - Semanal'!$O$10+'Plan - Semanal'!$O$11+'Plan - Semanal'!$O$12</f>
        <v>0</v>
      </c>
      <c r="AR3" s="792">
        <f>AO3-AQ3</f>
        <v>10920</v>
      </c>
      <c r="AS3" s="843">
        <f>AR3/M3</f>
        <v>43.68</v>
      </c>
    </row>
    <row r="4" spans="1:45" x14ac:dyDescent="0.25">
      <c r="A4" s="779" t="s">
        <v>255</v>
      </c>
      <c r="B4" s="779" t="s">
        <v>255</v>
      </c>
      <c r="C4" s="780">
        <v>1</v>
      </c>
      <c r="D4" s="780" t="s">
        <v>253</v>
      </c>
      <c r="E4" s="768">
        <v>40</v>
      </c>
      <c r="F4" s="780" t="s">
        <v>254</v>
      </c>
      <c r="H4" s="781">
        <v>9</v>
      </c>
      <c r="I4" s="776" t="s">
        <v>253</v>
      </c>
      <c r="J4" s="771"/>
      <c r="K4" s="782">
        <f t="shared" si="0"/>
        <v>360</v>
      </c>
      <c r="L4" s="771"/>
      <c r="M4" s="783">
        <v>35</v>
      </c>
      <c r="N4" s="784">
        <f t="shared" ref="N4:N6" si="5">K4/M4</f>
        <v>10.285714285714286</v>
      </c>
      <c r="O4" s="775"/>
      <c r="P4" s="776">
        <f>'Plan - Semanal'!$C$13+'Plan - Semanal'!$C$14+'Plan - Semanal'!$C$15+'Plan - Semanal'!$C$16</f>
        <v>0</v>
      </c>
      <c r="Q4" s="777">
        <f t="shared" si="1"/>
        <v>360</v>
      </c>
      <c r="R4" s="843">
        <f t="shared" ref="R4:R7" si="6">Q4/$M4</f>
        <v>10.285714285714286</v>
      </c>
      <c r="S4" s="844">
        <f>'Plan - Semanal'!$D$13+'Plan - Semanal'!$D$14+'Plan - Semanal'!$D$15+'Plan - Semanal'!$D$16</f>
        <v>0</v>
      </c>
      <c r="T4" s="788">
        <f t="shared" ref="T4:T7" si="7">Q4-S4</f>
        <v>360</v>
      </c>
      <c r="U4" s="843">
        <f t="shared" ref="U4:U7" si="8">T4/$M4</f>
        <v>10.285714285714286</v>
      </c>
      <c r="V4" s="782">
        <f>'Plan - Semanal'!$E$13+'Plan - Semanal'!$E$14+'Plan - Semanal'!$E$15+'Plan - Semanal'!$E$16</f>
        <v>0</v>
      </c>
      <c r="W4" s="790">
        <f t="shared" ref="W4:W7" si="9">T4-V4</f>
        <v>360</v>
      </c>
      <c r="X4" s="843">
        <f t="shared" ref="X4:X7" si="10">W4/$M4</f>
        <v>10.285714285714286</v>
      </c>
      <c r="Y4" s="844">
        <f>'Plan - Semanal'!$F$13+'Plan - Semanal'!$F$14+'Plan - Semanal'!$F$15+'Plan - Semanal'!$F$16</f>
        <v>0</v>
      </c>
      <c r="Z4" s="788">
        <f t="shared" ref="Z4:Z6" si="11">W4-Y4</f>
        <v>360</v>
      </c>
      <c r="AA4" s="843">
        <f t="shared" ref="AA4:AA6" si="12">Z4/$M4</f>
        <v>10.285714285714286</v>
      </c>
      <c r="AB4" s="776">
        <f>'Plan - Semanal'!$G$13+'Plan - Semanal'!$G$14+'Plan - Semanal'!$G$15+'Plan - Semanal'!$G$16</f>
        <v>0</v>
      </c>
      <c r="AC4" s="777">
        <f t="shared" si="2"/>
        <v>360</v>
      </c>
      <c r="AD4" s="843">
        <f t="shared" ref="AD4:AD6" si="13">AC4/$M4</f>
        <v>10.285714285714286</v>
      </c>
      <c r="AE4" s="776">
        <f>+'Plan - Semanal'!$H$13+'Plan - Semanal'!$H$14+'Plan - Semanal'!$H$15+'Plan - Semanal'!$H$16</f>
        <v>0</v>
      </c>
      <c r="AF4" s="777">
        <f t="shared" ref="AF4:AF6" si="14">AC4-AE4</f>
        <v>360</v>
      </c>
      <c r="AG4" s="802">
        <f t="shared" ref="AG4:AG6" si="15">AF4/$M4</f>
        <v>10.285714285714286</v>
      </c>
      <c r="AH4" s="776">
        <f>+'Plan - Semanal'!$I$13+'Plan - Semanal'!$I$14+'Plan - Semanal'!$I$15+'Plan - Semanal'!$I$16</f>
        <v>0</v>
      </c>
      <c r="AI4" s="777">
        <f t="shared" si="3"/>
        <v>360</v>
      </c>
      <c r="AJ4" s="802">
        <f t="shared" ref="AJ4:AJ6" si="16">AI4/$M4</f>
        <v>10.285714285714286</v>
      </c>
      <c r="AK4" s="783">
        <f>+'Plan - Semanal'!$M$13+'Plan - Semanal'!$M$14+'Plan - Semanal'!$M$15+'Plan - Semanal'!$M$16</f>
        <v>0</v>
      </c>
      <c r="AL4" s="792">
        <f t="shared" si="4"/>
        <v>360</v>
      </c>
      <c r="AM4" s="843">
        <f t="shared" ref="AM4:AM6" si="17">AL4/$M4</f>
        <v>10.285714285714286</v>
      </c>
      <c r="AN4" s="783">
        <f>+'Plan - Semanal'!$N$13+'Plan - Semanal'!$N$14+'Plan - Semanal'!$N$15+'Plan - Semanal'!$N$16</f>
        <v>0</v>
      </c>
      <c r="AO4" s="792">
        <f t="shared" ref="AO4:AO6" si="18">AL4-AN4</f>
        <v>360</v>
      </c>
      <c r="AP4" s="843">
        <f t="shared" ref="AP4:AP6" si="19">AO4/$M4</f>
        <v>10.285714285714286</v>
      </c>
      <c r="AQ4" s="783">
        <f>+'Plan - Semanal'!$O$13+'Plan - Semanal'!$O$14+'Plan - Semanal'!$O$15+'Plan - Semanal'!$O$16</f>
        <v>0</v>
      </c>
      <c r="AR4" s="792">
        <f t="shared" ref="AR4:AR6" si="20">AO4-AQ4</f>
        <v>360</v>
      </c>
      <c r="AS4" s="843">
        <f t="shared" ref="AS4:AS6" si="21">AR4/M4</f>
        <v>10.285714285714286</v>
      </c>
    </row>
    <row r="5" spans="1:45" x14ac:dyDescent="0.25">
      <c r="A5" s="779" t="s">
        <v>256</v>
      </c>
      <c r="B5" s="779" t="s">
        <v>256</v>
      </c>
      <c r="C5" s="780">
        <v>1</v>
      </c>
      <c r="D5" s="780" t="s">
        <v>253</v>
      </c>
      <c r="E5" s="768">
        <v>40</v>
      </c>
      <c r="F5" s="780" t="s">
        <v>254</v>
      </c>
      <c r="H5" s="781">
        <v>32</v>
      </c>
      <c r="I5" s="776" t="s">
        <v>253</v>
      </c>
      <c r="J5" s="771"/>
      <c r="K5" s="782">
        <f t="shared" si="0"/>
        <v>1280</v>
      </c>
      <c r="L5" s="771"/>
      <c r="M5" s="783">
        <v>20</v>
      </c>
      <c r="N5" s="784">
        <f t="shared" si="5"/>
        <v>64</v>
      </c>
      <c r="O5" s="775"/>
      <c r="P5" s="776">
        <f>+'Plan - Semanal'!$C$17+'Plan - Semanal'!$C$18+'Plan - Semanal'!$C$19+'Plan - Semanal'!$C$20</f>
        <v>0</v>
      </c>
      <c r="Q5" s="777">
        <f t="shared" si="1"/>
        <v>1280</v>
      </c>
      <c r="R5" s="843">
        <f t="shared" si="6"/>
        <v>64</v>
      </c>
      <c r="S5" s="844">
        <f>+'Plan - Semanal'!$D$17+'Plan - Semanal'!$D$18+'Plan - Semanal'!$D$19+'Plan - Semanal'!$D$20</f>
        <v>0</v>
      </c>
      <c r="T5" s="788">
        <f t="shared" si="7"/>
        <v>1280</v>
      </c>
      <c r="U5" s="843">
        <f t="shared" si="8"/>
        <v>64</v>
      </c>
      <c r="V5" s="782">
        <f>+'Plan - Semanal'!$E$17+'Plan - Semanal'!$E$18+'Plan - Semanal'!$E$19+'Plan - Semanal'!$E$20</f>
        <v>0</v>
      </c>
      <c r="W5" s="790">
        <f t="shared" si="9"/>
        <v>1280</v>
      </c>
      <c r="X5" s="843">
        <f t="shared" si="10"/>
        <v>64</v>
      </c>
      <c r="Y5" s="844">
        <f>+'Plan - Semanal'!$F$17+'Plan - Semanal'!$F$18+'Plan - Semanal'!$F$19+'Plan - Semanal'!$F$20</f>
        <v>0</v>
      </c>
      <c r="Z5" s="788">
        <f t="shared" si="11"/>
        <v>1280</v>
      </c>
      <c r="AA5" s="843">
        <f t="shared" si="12"/>
        <v>64</v>
      </c>
      <c r="AB5" s="776">
        <f>+'Plan - Semanal'!$G$17+'Plan - Semanal'!$G$18+'Plan - Semanal'!$G$19+'Plan - Semanal'!$G$20</f>
        <v>0</v>
      </c>
      <c r="AC5" s="777">
        <f t="shared" si="2"/>
        <v>1280</v>
      </c>
      <c r="AD5" s="843">
        <f t="shared" si="13"/>
        <v>64</v>
      </c>
      <c r="AE5" s="776">
        <f>+'Plan - Semanal'!$H$17+'Plan - Semanal'!$H$18+'Plan - Semanal'!$H$19+'Plan - Semanal'!$H$20</f>
        <v>0</v>
      </c>
      <c r="AF5" s="777">
        <f t="shared" si="14"/>
        <v>1280</v>
      </c>
      <c r="AG5" s="802">
        <f t="shared" si="15"/>
        <v>64</v>
      </c>
      <c r="AH5" s="776">
        <f>+'Plan - Semanal'!$I$17+'Plan - Semanal'!$I$18+'Plan - Semanal'!$I$19+'Plan - Semanal'!$I$20</f>
        <v>0</v>
      </c>
      <c r="AI5" s="777">
        <f t="shared" si="3"/>
        <v>1280</v>
      </c>
      <c r="AJ5" s="802">
        <f t="shared" si="16"/>
        <v>64</v>
      </c>
      <c r="AK5" s="783">
        <f>+'Plan - Semanal'!$M$17+'Plan - Semanal'!$M$18+'Plan - Semanal'!$M$19+'Plan - Semanal'!$M$20</f>
        <v>0</v>
      </c>
      <c r="AL5" s="792">
        <f t="shared" si="4"/>
        <v>1280</v>
      </c>
      <c r="AM5" s="843">
        <f t="shared" si="17"/>
        <v>64</v>
      </c>
      <c r="AN5" s="783">
        <f>+'Plan - Semanal'!$N$17+'Plan - Semanal'!$N$18+'Plan - Semanal'!$N$19+'Plan - Semanal'!$N$20</f>
        <v>0</v>
      </c>
      <c r="AO5" s="792">
        <f t="shared" si="18"/>
        <v>1280</v>
      </c>
      <c r="AP5" s="843">
        <f t="shared" si="19"/>
        <v>64</v>
      </c>
      <c r="AQ5" s="783">
        <f>+'Plan - Semanal'!$O$17+'Plan - Semanal'!$O$18+'Plan - Semanal'!$O$19+'Plan - Semanal'!$O$20</f>
        <v>0</v>
      </c>
      <c r="AR5" s="792">
        <f t="shared" si="20"/>
        <v>1280</v>
      </c>
      <c r="AS5" s="843">
        <f t="shared" si="21"/>
        <v>64</v>
      </c>
    </row>
    <row r="6" spans="1:45" x14ac:dyDescent="0.25">
      <c r="A6" s="779" t="s">
        <v>257</v>
      </c>
      <c r="B6" s="779" t="s">
        <v>257</v>
      </c>
      <c r="C6" s="780">
        <v>1</v>
      </c>
      <c r="D6" s="780" t="s">
        <v>253</v>
      </c>
      <c r="E6" s="768">
        <v>40</v>
      </c>
      <c r="F6" s="780" t="s">
        <v>254</v>
      </c>
      <c r="H6" s="781">
        <v>105</v>
      </c>
      <c r="I6" s="776" t="s">
        <v>253</v>
      </c>
      <c r="J6" s="771"/>
      <c r="K6" s="782">
        <f t="shared" si="0"/>
        <v>4200</v>
      </c>
      <c r="L6" s="771"/>
      <c r="M6" s="783">
        <v>430</v>
      </c>
      <c r="N6" s="784">
        <f t="shared" si="5"/>
        <v>9.7674418604651159</v>
      </c>
      <c r="O6" s="775"/>
      <c r="P6" s="776">
        <f>+'Plan - Semanal'!$C$21+'Plan - Semanal'!$C$22+'Plan - Semanal'!$C$23+'Plan - Semanal'!$C$24</f>
        <v>1200</v>
      </c>
      <c r="Q6" s="777">
        <f t="shared" si="1"/>
        <v>3000</v>
      </c>
      <c r="R6" s="843">
        <f t="shared" si="6"/>
        <v>6.9767441860465116</v>
      </c>
      <c r="S6" s="844">
        <f>+'Plan - Semanal'!$D$21+'Plan - Semanal'!$D$22+'Plan - Semanal'!$D$23+'Plan - Semanal'!$D$24</f>
        <v>1200</v>
      </c>
      <c r="T6" s="788">
        <f t="shared" si="7"/>
        <v>1800</v>
      </c>
      <c r="U6" s="843">
        <f t="shared" si="8"/>
        <v>4.1860465116279073</v>
      </c>
      <c r="V6" s="782">
        <f>+'Plan - Semanal'!$E$21+'Plan - Semanal'!$E$22+'Plan - Semanal'!$E$23+'Plan - Semanal'!$E$24</f>
        <v>1200</v>
      </c>
      <c r="W6" s="790">
        <f t="shared" si="9"/>
        <v>600</v>
      </c>
      <c r="X6" s="843">
        <f t="shared" si="10"/>
        <v>1.3953488372093024</v>
      </c>
      <c r="Y6" s="844">
        <f>+'Plan - Semanal'!$F$21+'Plan - Semanal'!$F$22+'Plan - Semanal'!$F$23+'Plan - Semanal'!$F$24</f>
        <v>0</v>
      </c>
      <c r="Z6" s="788">
        <f t="shared" si="11"/>
        <v>600</v>
      </c>
      <c r="AA6" s="843">
        <f t="shared" si="12"/>
        <v>1.3953488372093024</v>
      </c>
      <c r="AB6" s="776">
        <f>+'Plan - Semanal'!$G$21+'Plan - Semanal'!$G$22+'Plan - Semanal'!$G$23+'Plan - Semanal'!$G$24</f>
        <v>0</v>
      </c>
      <c r="AC6" s="777">
        <f t="shared" si="2"/>
        <v>600</v>
      </c>
      <c r="AD6" s="843">
        <f t="shared" si="13"/>
        <v>1.3953488372093024</v>
      </c>
      <c r="AE6" s="776">
        <f>+'Plan - Semanal'!$H$21+'Plan - Semanal'!$H$22+'Plan - Semanal'!$H$23+'Plan - Semanal'!$H$24</f>
        <v>0</v>
      </c>
      <c r="AF6" s="777">
        <f t="shared" si="14"/>
        <v>600</v>
      </c>
      <c r="AG6" s="802">
        <f t="shared" si="15"/>
        <v>1.3953488372093024</v>
      </c>
      <c r="AH6" s="776">
        <f>+'Plan - Semanal'!$I$21+'Plan - Semanal'!$I$22+'Plan - Semanal'!$I$23+'Plan - Semanal'!$I$24</f>
        <v>0</v>
      </c>
      <c r="AI6" s="777">
        <f t="shared" si="3"/>
        <v>600</v>
      </c>
      <c r="AJ6" s="802">
        <f t="shared" si="16"/>
        <v>1.3953488372093024</v>
      </c>
      <c r="AK6" s="783">
        <f>+'Plan - Semanal'!$M$21+'Plan - Semanal'!$M$22+'Plan - Semanal'!$M$23+'Plan - Semanal'!$M$24</f>
        <v>0</v>
      </c>
      <c r="AL6" s="792">
        <f t="shared" si="4"/>
        <v>600</v>
      </c>
      <c r="AM6" s="843">
        <f t="shared" si="17"/>
        <v>1.3953488372093024</v>
      </c>
      <c r="AN6" s="783">
        <f>+'Plan - Semanal'!$N$21+'Plan - Semanal'!$N$22+'Plan - Semanal'!$N$23+'Plan - Semanal'!$N$24</f>
        <v>0</v>
      </c>
      <c r="AO6" s="792">
        <f t="shared" si="18"/>
        <v>600</v>
      </c>
      <c r="AP6" s="843">
        <f t="shared" si="19"/>
        <v>1.3953488372093024</v>
      </c>
      <c r="AQ6" s="783">
        <f>+'Plan - Semanal'!$O$21+'Plan - Semanal'!$O$22+'Plan - Semanal'!$O$23+'Plan - Semanal'!$O$24</f>
        <v>0</v>
      </c>
      <c r="AR6" s="792">
        <f t="shared" si="20"/>
        <v>600</v>
      </c>
      <c r="AS6" s="843">
        <f t="shared" si="21"/>
        <v>1.3953488372093024</v>
      </c>
    </row>
    <row r="7" spans="1:45" x14ac:dyDescent="0.25">
      <c r="A7" s="840" t="s">
        <v>343</v>
      </c>
      <c r="B7" s="840" t="s">
        <v>343</v>
      </c>
      <c r="C7" s="780">
        <v>1</v>
      </c>
      <c r="D7" s="780" t="s">
        <v>253</v>
      </c>
      <c r="E7" s="768">
        <v>40</v>
      </c>
      <c r="F7" s="780" t="s">
        <v>254</v>
      </c>
      <c r="H7" s="781">
        <v>90</v>
      </c>
      <c r="I7" s="776" t="s">
        <v>253</v>
      </c>
      <c r="J7" s="771"/>
      <c r="K7" s="782">
        <f t="shared" si="0"/>
        <v>3600</v>
      </c>
      <c r="L7" s="771"/>
      <c r="M7" s="783">
        <v>0</v>
      </c>
      <c r="N7" s="784" t="e">
        <f t="shared" ref="N7" si="22">K7/M7</f>
        <v>#DIV/0!</v>
      </c>
      <c r="O7" s="775"/>
      <c r="P7" s="776">
        <f>+'Plan - Semanal'!C49+'Plan - Semanal'!C50+'Plan - Semanal'!C51+'Plan - Semanal'!C52</f>
        <v>0</v>
      </c>
      <c r="Q7" s="777">
        <f t="shared" si="1"/>
        <v>3600</v>
      </c>
      <c r="R7" s="843" t="e">
        <f t="shared" si="6"/>
        <v>#DIV/0!</v>
      </c>
      <c r="S7" s="844">
        <f>+'Plan - Semanal'!D49+'Plan - Semanal'!D50+'Plan - Semanal'!D51+'Plan - Semanal'!D52</f>
        <v>0</v>
      </c>
      <c r="T7" s="788">
        <f t="shared" si="7"/>
        <v>3600</v>
      </c>
      <c r="U7" s="843" t="e">
        <f t="shared" si="8"/>
        <v>#DIV/0!</v>
      </c>
      <c r="V7" s="782">
        <f>+'Plan - Semanal'!E49+'Plan - Semanal'!E50+'Plan - Semanal'!E51+'Plan - Semanal'!E52</f>
        <v>0</v>
      </c>
      <c r="W7" s="790">
        <f t="shared" si="9"/>
        <v>3600</v>
      </c>
      <c r="X7" s="843" t="e">
        <f t="shared" si="10"/>
        <v>#DIV/0!</v>
      </c>
      <c r="Y7" s="844">
        <f>+'Plan - Semanal'!F49+'Plan - Semanal'!F50+'Plan - Semanal'!F51+'Plan - Semanal'!F52</f>
        <v>0</v>
      </c>
      <c r="Z7" s="788">
        <f t="shared" ref="Z7" si="23">W7-Y7</f>
        <v>3600</v>
      </c>
      <c r="AA7" s="843" t="e">
        <f t="shared" ref="AA7" si="24">Z7/$M7</f>
        <v>#DIV/0!</v>
      </c>
      <c r="AB7" s="776">
        <f>+'Plan - Semanal'!G49+'Plan - Semanal'!G50+'Plan - Semanal'!G51+'Plan - Semanal'!G52</f>
        <v>0</v>
      </c>
      <c r="AC7" s="777">
        <f t="shared" ref="AC7" si="25">Z7-AB7</f>
        <v>3600</v>
      </c>
      <c r="AD7" s="843" t="e">
        <f t="shared" ref="AD7" si="26">AC7/$M7</f>
        <v>#DIV/0!</v>
      </c>
      <c r="AE7" s="776">
        <f>+'Plan - Semanal'!H49+'Plan - Semanal'!H50+'Plan - Semanal'!H51+'Plan - Semanal'!H52</f>
        <v>0</v>
      </c>
      <c r="AF7" s="777">
        <f t="shared" ref="AF7" si="27">AC7-AE7</f>
        <v>3600</v>
      </c>
      <c r="AG7" s="802" t="e">
        <f t="shared" ref="AG7" si="28">AF7/$M7</f>
        <v>#DIV/0!</v>
      </c>
      <c r="AH7" s="776">
        <f>+'Plan - Semanal'!I49+'Plan - Semanal'!I50+'Plan - Semanal'!I51+'Plan - Semanal'!I52</f>
        <v>0</v>
      </c>
      <c r="AI7" s="777">
        <f t="shared" ref="AI7" si="29">AF7-AH7</f>
        <v>3600</v>
      </c>
      <c r="AJ7" s="802" t="e">
        <f t="shared" ref="AJ7" si="30">AI7/$M7</f>
        <v>#DIV/0!</v>
      </c>
      <c r="AK7" s="783">
        <f>+'Plan - Semanal'!M49+'Plan - Semanal'!M50+'Plan - Semanal'!M51+'Plan - Semanal'!M52</f>
        <v>0</v>
      </c>
      <c r="AL7" s="792">
        <f t="shared" ref="AL7" si="31">AI7-AK7</f>
        <v>3600</v>
      </c>
      <c r="AM7" s="843" t="e">
        <f t="shared" ref="AM7" si="32">AL7/$M7</f>
        <v>#DIV/0!</v>
      </c>
      <c r="AN7" s="783">
        <f>+'Plan - Semanal'!N49+'Plan - Semanal'!N50+'Plan - Semanal'!N51+'Plan - Semanal'!N52</f>
        <v>0</v>
      </c>
      <c r="AO7" s="792">
        <f t="shared" ref="AO7" si="33">AL7-AN7</f>
        <v>3600</v>
      </c>
      <c r="AP7" s="843" t="e">
        <f t="shared" ref="AP7" si="34">AO7/$M7</f>
        <v>#DIV/0!</v>
      </c>
      <c r="AQ7" s="783">
        <f>+'Plan - Semanal'!O49+'Plan - Semanal'!O50+'Plan - Semanal'!O51+'Plan - Semanal'!O52</f>
        <v>0</v>
      </c>
      <c r="AR7" s="792">
        <f t="shared" ref="AR7" si="35">AO7-AQ7</f>
        <v>3600</v>
      </c>
      <c r="AS7" s="843" t="e">
        <f t="shared" ref="AS7" si="36">AR7/M7</f>
        <v>#DIV/0!</v>
      </c>
    </row>
    <row r="8" spans="1:45" x14ac:dyDescent="0.25">
      <c r="A8" s="779" t="s">
        <v>322</v>
      </c>
      <c r="B8" s="779" t="s">
        <v>322</v>
      </c>
      <c r="C8" s="780">
        <v>1</v>
      </c>
      <c r="D8" s="780" t="s">
        <v>253</v>
      </c>
      <c r="E8" s="768">
        <v>40</v>
      </c>
      <c r="F8" s="780" t="s">
        <v>254</v>
      </c>
      <c r="H8" s="781">
        <v>121</v>
      </c>
      <c r="I8" s="776" t="s">
        <v>253</v>
      </c>
      <c r="J8" s="771"/>
      <c r="K8" s="782">
        <f t="shared" ref="K8:K13" si="37">(H8*E8)/C8</f>
        <v>4840</v>
      </c>
      <c r="L8" s="771"/>
      <c r="M8" s="783">
        <v>465</v>
      </c>
      <c r="N8" s="784">
        <f t="shared" ref="N8:N13" si="38">K8/M8</f>
        <v>10.408602150537634</v>
      </c>
      <c r="O8" s="775"/>
      <c r="P8" s="776">
        <f>+'Plan - Semanal'!$C$29+'Plan - Semanal'!$C$30+'Plan - Semanal'!$C$31+'Plan - Semanal'!$C$32</f>
        <v>0</v>
      </c>
      <c r="Q8" s="777">
        <f t="shared" ref="Q8:Q13" si="39">K8-P8</f>
        <v>4840</v>
      </c>
      <c r="R8" s="843">
        <f t="shared" ref="R8:R13" si="40">Q8/$M8</f>
        <v>10.408602150537634</v>
      </c>
      <c r="S8" s="844">
        <f>+'Plan - Semanal'!$D$29+'Plan - Semanal'!$D$30+'Plan - Semanal'!$D$31+'Plan - Semanal'!$D$32</f>
        <v>0</v>
      </c>
      <c r="T8" s="788">
        <f t="shared" ref="T8:T13" si="41">Q8-S8</f>
        <v>4840</v>
      </c>
      <c r="U8" s="843">
        <f t="shared" ref="U8:U13" si="42">T8/$M8</f>
        <v>10.408602150537634</v>
      </c>
      <c r="V8" s="782">
        <f>+'Plan - Semanal'!$E$29+'Plan - Semanal'!$E$30+'Plan - Semanal'!$E$31+'Plan - Semanal'!$E$32</f>
        <v>0</v>
      </c>
      <c r="W8" s="790">
        <f t="shared" ref="W8:W13" si="43">T8-V8</f>
        <v>4840</v>
      </c>
      <c r="X8" s="843">
        <f t="shared" ref="X8:X13" si="44">W8/$M8</f>
        <v>10.408602150537634</v>
      </c>
      <c r="Y8" s="844">
        <f>+'Plan - Semanal'!$F$29+'Plan - Semanal'!$F$30+'Plan - Semanal'!$F$31+'Plan - Semanal'!$F$32</f>
        <v>1200</v>
      </c>
      <c r="Z8" s="788">
        <f t="shared" ref="Z8:Z13" si="45">W8-Y8</f>
        <v>3640</v>
      </c>
      <c r="AA8" s="843">
        <f t="shared" ref="AA8:AA13" si="46">Z8/$M8</f>
        <v>7.827956989247312</v>
      </c>
      <c r="AB8" s="776">
        <f>+'Plan - Semanal'!$G$29+'Plan - Semanal'!$G$30+'Plan - Semanal'!$G$31+'Plan - Semanal'!$G$32</f>
        <v>1200</v>
      </c>
      <c r="AC8" s="777">
        <f t="shared" ref="AC8:AC13" si="47">Z8-AB8</f>
        <v>2440</v>
      </c>
      <c r="AD8" s="843">
        <f t="shared" ref="AD8:AD13" si="48">AC8/$M8</f>
        <v>5.247311827956989</v>
      </c>
      <c r="AE8" s="776">
        <f>+'Plan - Semanal'!$H$29+'Plan - Semanal'!$H$30+'Plan - Semanal'!$H$31+'Plan - Semanal'!$H$32</f>
        <v>0</v>
      </c>
      <c r="AF8" s="777">
        <f t="shared" ref="AF8:AF13" si="49">AC8-AE8</f>
        <v>2440</v>
      </c>
      <c r="AG8" s="802">
        <f t="shared" ref="AG8:AG13" si="50">AF8/$M8</f>
        <v>5.247311827956989</v>
      </c>
      <c r="AH8" s="776">
        <f>+'Plan - Semanal'!$I$29+'Plan - Semanal'!$I$30+'Plan - Semanal'!$I$31+'Plan - Semanal'!$I$32</f>
        <v>0</v>
      </c>
      <c r="AI8" s="777">
        <f t="shared" ref="AI8:AI13" si="51">AF8-AH8</f>
        <v>2440</v>
      </c>
      <c r="AJ8" s="802">
        <f t="shared" ref="AJ8:AJ13" si="52">AI8/$M8</f>
        <v>5.247311827956989</v>
      </c>
      <c r="AK8" s="783">
        <f>+'Plan - Semanal'!$M$29+'Plan - Semanal'!$M$30+'Plan - Semanal'!$M$31+'Plan - Semanal'!$M$32</f>
        <v>0</v>
      </c>
      <c r="AL8" s="792">
        <f t="shared" ref="AL8:AL13" si="53">AI8-AK8</f>
        <v>2440</v>
      </c>
      <c r="AM8" s="843">
        <f t="shared" ref="AM8:AM13" si="54">AL8/$M8</f>
        <v>5.247311827956989</v>
      </c>
      <c r="AN8" s="783">
        <f>+'Plan - Semanal'!$N$29+'Plan - Semanal'!$N$30+'Plan - Semanal'!$N$31+'Plan - Semanal'!$N$32</f>
        <v>0</v>
      </c>
      <c r="AO8" s="792">
        <f t="shared" ref="AO8:AO13" si="55">AL8-AN8</f>
        <v>2440</v>
      </c>
      <c r="AP8" s="843">
        <f t="shared" ref="AP8:AP13" si="56">AO8/$M8</f>
        <v>5.247311827956989</v>
      </c>
      <c r="AQ8" s="783">
        <f>+'Plan - Semanal'!$O$29+'Plan - Semanal'!$O$30+'Plan - Semanal'!$O$31+'Plan - Semanal'!$O$32</f>
        <v>0</v>
      </c>
      <c r="AR8" s="792">
        <f t="shared" ref="AR8:AR13" si="57">AO8-AQ8</f>
        <v>2440</v>
      </c>
      <c r="AS8" s="843">
        <f t="shared" ref="AS8:AS13" si="58">AR8/M8</f>
        <v>5.247311827956989</v>
      </c>
    </row>
    <row r="9" spans="1:45" x14ac:dyDescent="0.25">
      <c r="A9" s="779" t="s">
        <v>323</v>
      </c>
      <c r="B9" s="779" t="s">
        <v>323</v>
      </c>
      <c r="C9" s="780">
        <v>1</v>
      </c>
      <c r="D9" s="780" t="s">
        <v>253</v>
      </c>
      <c r="E9" s="768">
        <v>40</v>
      </c>
      <c r="F9" s="780" t="s">
        <v>254</v>
      </c>
      <c r="H9" s="781">
        <v>90</v>
      </c>
      <c r="I9" s="776" t="s">
        <v>253</v>
      </c>
      <c r="J9" s="771"/>
      <c r="K9" s="782">
        <f t="shared" si="37"/>
        <v>3600</v>
      </c>
      <c r="L9" s="771"/>
      <c r="M9" s="783">
        <v>0</v>
      </c>
      <c r="N9" s="784" t="e">
        <f t="shared" si="38"/>
        <v>#DIV/0!</v>
      </c>
      <c r="O9" s="775"/>
      <c r="P9" s="776">
        <f>+'Plan - Semanal'!$C$33+'Plan - Semanal'!$C$34+'Plan - Semanal'!$C$35+'Plan - Semanal'!$C$36</f>
        <v>0</v>
      </c>
      <c r="Q9" s="777">
        <f t="shared" si="39"/>
        <v>3600</v>
      </c>
      <c r="R9" s="843" t="e">
        <f t="shared" si="40"/>
        <v>#DIV/0!</v>
      </c>
      <c r="S9" s="844">
        <f>+'Plan - Semanal'!$D$33+'Plan - Semanal'!$D$34+'Plan - Semanal'!$D$35+'Plan - Semanal'!$D$36</f>
        <v>0</v>
      </c>
      <c r="T9" s="788">
        <f t="shared" si="41"/>
        <v>3600</v>
      </c>
      <c r="U9" s="843" t="e">
        <f t="shared" si="42"/>
        <v>#DIV/0!</v>
      </c>
      <c r="V9" s="782">
        <f>+'Plan - Semanal'!$E$33+'Plan - Semanal'!$E$34+'Plan - Semanal'!$E$35+'Plan - Semanal'!$E$36</f>
        <v>0</v>
      </c>
      <c r="W9" s="790">
        <f t="shared" si="43"/>
        <v>3600</v>
      </c>
      <c r="X9" s="843" t="e">
        <f t="shared" si="44"/>
        <v>#DIV/0!</v>
      </c>
      <c r="Y9" s="844">
        <f>+'Plan - Semanal'!$F$33+'Plan - Semanal'!$F$34+'Plan - Semanal'!$F$35+'Plan - Semanal'!$F$36</f>
        <v>0</v>
      </c>
      <c r="Z9" s="788">
        <f t="shared" si="45"/>
        <v>3600</v>
      </c>
      <c r="AA9" s="843" t="e">
        <f t="shared" si="46"/>
        <v>#DIV/0!</v>
      </c>
      <c r="AB9" s="776">
        <f>+'Plan - Semanal'!$G$33+'Plan - Semanal'!$G$34+'Plan - Semanal'!$G$35+'Plan - Semanal'!$G$36</f>
        <v>0</v>
      </c>
      <c r="AC9" s="777">
        <f t="shared" si="47"/>
        <v>3600</v>
      </c>
      <c r="AD9" s="843" t="e">
        <f t="shared" si="48"/>
        <v>#DIV/0!</v>
      </c>
      <c r="AE9" s="776">
        <f>+'Plan - Semanal'!$H$33+'Plan - Semanal'!$H$34+'Plan - Semanal'!$H$35+'Plan - Semanal'!$H$36</f>
        <v>0</v>
      </c>
      <c r="AF9" s="777">
        <f t="shared" si="49"/>
        <v>3600</v>
      </c>
      <c r="AG9" s="802" t="e">
        <f t="shared" si="50"/>
        <v>#DIV/0!</v>
      </c>
      <c r="AH9" s="776">
        <f>+'Plan - Semanal'!$I$33+'Plan - Semanal'!$I$34+'Plan - Semanal'!$I$35+'Plan - Semanal'!$I$36</f>
        <v>0</v>
      </c>
      <c r="AI9" s="777">
        <f t="shared" si="51"/>
        <v>3600</v>
      </c>
      <c r="AJ9" s="802" t="e">
        <f t="shared" si="52"/>
        <v>#DIV/0!</v>
      </c>
      <c r="AK9" s="783">
        <f>+'Plan - Semanal'!$M$33+'Plan - Semanal'!$M$34+'Plan - Semanal'!$M$35+'Plan - Semanal'!$M$36</f>
        <v>0</v>
      </c>
      <c r="AL9" s="792">
        <f t="shared" si="53"/>
        <v>3600</v>
      </c>
      <c r="AM9" s="843" t="e">
        <f t="shared" si="54"/>
        <v>#DIV/0!</v>
      </c>
      <c r="AN9" s="783">
        <f>+'Plan - Semanal'!$N$33+'Plan - Semanal'!$N$34+'Plan - Semanal'!$N$35+'Plan - Semanal'!$N$36</f>
        <v>0</v>
      </c>
      <c r="AO9" s="792">
        <f t="shared" si="55"/>
        <v>3600</v>
      </c>
      <c r="AP9" s="843" t="e">
        <f t="shared" si="56"/>
        <v>#DIV/0!</v>
      </c>
      <c r="AQ9" s="783">
        <f>+'Plan - Semanal'!$O$33+'Plan - Semanal'!$O$34+'Plan - Semanal'!$O$35+'Plan - Semanal'!$O$36</f>
        <v>0</v>
      </c>
      <c r="AR9" s="792">
        <f t="shared" si="57"/>
        <v>3600</v>
      </c>
      <c r="AS9" s="843" t="e">
        <f t="shared" si="58"/>
        <v>#DIV/0!</v>
      </c>
    </row>
    <row r="10" spans="1:45" x14ac:dyDescent="0.25">
      <c r="A10" s="779" t="s">
        <v>258</v>
      </c>
      <c r="B10" s="779" t="s">
        <v>258</v>
      </c>
      <c r="C10" s="780">
        <v>1</v>
      </c>
      <c r="D10" s="780" t="s">
        <v>253</v>
      </c>
      <c r="E10" s="768">
        <v>40</v>
      </c>
      <c r="F10" s="780" t="s">
        <v>254</v>
      </c>
      <c r="H10" s="781">
        <v>64</v>
      </c>
      <c r="I10" s="776" t="s">
        <v>253</v>
      </c>
      <c r="J10" s="771"/>
      <c r="K10" s="782">
        <f t="shared" si="37"/>
        <v>2560</v>
      </c>
      <c r="L10" s="771"/>
      <c r="M10" s="783">
        <v>240</v>
      </c>
      <c r="N10" s="784">
        <f t="shared" si="38"/>
        <v>10.666666666666666</v>
      </c>
      <c r="O10" s="775"/>
      <c r="P10" s="776">
        <f>'Plan - Semanal'!$C$41+'Plan - Semanal'!$C$42+'Plan - Semanal'!$C$43+'Plan - Semanal'!$C$44</f>
        <v>700</v>
      </c>
      <c r="Q10" s="777">
        <f t="shared" si="39"/>
        <v>1860</v>
      </c>
      <c r="R10" s="843">
        <f t="shared" si="40"/>
        <v>7.75</v>
      </c>
      <c r="S10" s="844">
        <f>+'Plan - Semanal'!$D$41+'Plan - Semanal'!$D$42+'Plan - Semanal'!$D$43+'Plan - Semanal'!$D$44</f>
        <v>700</v>
      </c>
      <c r="T10" s="788">
        <f t="shared" si="41"/>
        <v>1160</v>
      </c>
      <c r="U10" s="843">
        <f t="shared" si="42"/>
        <v>4.833333333333333</v>
      </c>
      <c r="V10" s="782">
        <f>+'Plan - Semanal'!$E$41+'Plan - Semanal'!$E$42+'Plan - Semanal'!$E$43+'Plan - Semanal'!$E$44</f>
        <v>700</v>
      </c>
      <c r="W10" s="790">
        <f t="shared" si="43"/>
        <v>460</v>
      </c>
      <c r="X10" s="843">
        <f t="shared" si="44"/>
        <v>1.9166666666666667</v>
      </c>
      <c r="Y10" s="844">
        <f>+'Plan - Semanal'!$F$41+'Plan - Semanal'!$F$42+'Plan - Semanal'!$F$43+'Plan - Semanal'!$F$44</f>
        <v>500</v>
      </c>
      <c r="Z10" s="788">
        <f t="shared" si="45"/>
        <v>-40</v>
      </c>
      <c r="AA10" s="843">
        <f t="shared" si="46"/>
        <v>-0.16666666666666666</v>
      </c>
      <c r="AB10" s="776">
        <f>+'Plan - Semanal'!$G$41+'Plan - Semanal'!$G$42+'Plan - Semanal'!$G$43+'Plan - Semanal'!$G$44</f>
        <v>0</v>
      </c>
      <c r="AC10" s="777">
        <f t="shared" si="47"/>
        <v>-40</v>
      </c>
      <c r="AD10" s="843">
        <f t="shared" si="48"/>
        <v>-0.16666666666666666</v>
      </c>
      <c r="AE10" s="776">
        <f>+'Plan - Semanal'!$H$41+'Plan - Semanal'!$H$42+'Plan - Semanal'!$H$43+'Plan - Semanal'!$H$44</f>
        <v>0</v>
      </c>
      <c r="AF10" s="777">
        <f t="shared" si="49"/>
        <v>-40</v>
      </c>
      <c r="AG10" s="802">
        <f t="shared" si="50"/>
        <v>-0.16666666666666666</v>
      </c>
      <c r="AH10" s="776">
        <f>+'Plan - Semanal'!$I$41+'Plan - Semanal'!$I$42+'Plan - Semanal'!$I$43+'Plan - Semanal'!$I$44</f>
        <v>0</v>
      </c>
      <c r="AI10" s="777">
        <f t="shared" si="51"/>
        <v>-40</v>
      </c>
      <c r="AJ10" s="802">
        <f t="shared" si="52"/>
        <v>-0.16666666666666666</v>
      </c>
      <c r="AK10" s="783">
        <f>+'Plan - Semanal'!$M$41+'Plan - Semanal'!$M$42+'Plan - Semanal'!$M$43+'Plan - Semanal'!$M$44</f>
        <v>0</v>
      </c>
      <c r="AL10" s="792">
        <f t="shared" si="53"/>
        <v>-40</v>
      </c>
      <c r="AM10" s="843">
        <f t="shared" si="54"/>
        <v>-0.16666666666666666</v>
      </c>
      <c r="AN10" s="783">
        <f>+'Plan - Semanal'!$N$41+'Plan - Semanal'!$N$42+'Plan - Semanal'!$N$43+'Plan - Semanal'!$N$44</f>
        <v>0</v>
      </c>
      <c r="AO10" s="792">
        <f t="shared" si="55"/>
        <v>-40</v>
      </c>
      <c r="AP10" s="843">
        <f t="shared" si="56"/>
        <v>-0.16666666666666666</v>
      </c>
      <c r="AQ10" s="783">
        <f>+'Plan - Semanal'!$O$41+'Plan - Semanal'!$O$42+'Plan - Semanal'!$O$43+'Plan - Semanal'!$O$44</f>
        <v>0</v>
      </c>
      <c r="AR10" s="792">
        <f t="shared" si="57"/>
        <v>-40</v>
      </c>
      <c r="AS10" s="843">
        <f t="shared" si="58"/>
        <v>-0.16666666666666666</v>
      </c>
    </row>
    <row r="11" spans="1:45" x14ac:dyDescent="0.25">
      <c r="A11" s="779" t="s">
        <v>260</v>
      </c>
      <c r="B11" s="779" t="s">
        <v>260</v>
      </c>
      <c r="C11" s="780">
        <v>1</v>
      </c>
      <c r="D11" s="780" t="s">
        <v>253</v>
      </c>
      <c r="E11" s="768">
        <v>40</v>
      </c>
      <c r="F11" s="780" t="s">
        <v>254</v>
      </c>
      <c r="H11" s="781">
        <v>30</v>
      </c>
      <c r="I11" s="776" t="s">
        <v>253</v>
      </c>
      <c r="J11" s="771"/>
      <c r="K11" s="782">
        <f t="shared" si="37"/>
        <v>1200</v>
      </c>
      <c r="L11" s="771"/>
      <c r="M11" s="783">
        <v>25</v>
      </c>
      <c r="N11" s="784">
        <f t="shared" si="38"/>
        <v>48</v>
      </c>
      <c r="O11" s="775"/>
      <c r="P11" s="776">
        <f>+'Plan - Semanal'!$C$45+'Plan - Semanal'!$C$46+'Plan - Semanal'!$C$47+'Plan - Semanal'!$C$48</f>
        <v>0</v>
      </c>
      <c r="Q11" s="777">
        <f t="shared" si="39"/>
        <v>1200</v>
      </c>
      <c r="R11" s="843">
        <f t="shared" si="40"/>
        <v>48</v>
      </c>
      <c r="S11" s="844">
        <f>+'Plan - Semanal'!$D$45+'Plan - Semanal'!$D$46+'Plan - Semanal'!$D$47+'Plan - Semanal'!$D$48</f>
        <v>0</v>
      </c>
      <c r="T11" s="788">
        <f t="shared" si="41"/>
        <v>1200</v>
      </c>
      <c r="U11" s="843">
        <f t="shared" si="42"/>
        <v>48</v>
      </c>
      <c r="V11" s="782">
        <f>+'Plan - Semanal'!$E$45+'Plan - Semanal'!$E$46+'Plan - Semanal'!$E$47+'Plan - Semanal'!$E$48</f>
        <v>0</v>
      </c>
      <c r="W11" s="790">
        <f t="shared" si="43"/>
        <v>1200</v>
      </c>
      <c r="X11" s="843">
        <f t="shared" si="44"/>
        <v>48</v>
      </c>
      <c r="Y11" s="844">
        <f>+'Plan - Semanal'!$F$45+'Plan - Semanal'!$F$46+'Plan - Semanal'!$F$47+'Plan - Semanal'!$F$48</f>
        <v>0</v>
      </c>
      <c r="Z11" s="788">
        <f t="shared" si="45"/>
        <v>1200</v>
      </c>
      <c r="AA11" s="843">
        <f t="shared" si="46"/>
        <v>48</v>
      </c>
      <c r="AB11" s="776">
        <f>+'Plan - Semanal'!$G$45+'Plan - Semanal'!$G$46+'Plan - Semanal'!$G$47+'Plan - Semanal'!$G$48</f>
        <v>0</v>
      </c>
      <c r="AC11" s="777">
        <f t="shared" si="47"/>
        <v>1200</v>
      </c>
      <c r="AD11" s="843">
        <f t="shared" si="48"/>
        <v>48</v>
      </c>
      <c r="AE11" s="776">
        <f>+'Plan - Semanal'!$H$45+'Plan - Semanal'!$H$46+'Plan - Semanal'!$H$47+'Plan - Semanal'!$H$48</f>
        <v>0</v>
      </c>
      <c r="AF11" s="777">
        <f t="shared" si="49"/>
        <v>1200</v>
      </c>
      <c r="AG11" s="802">
        <f t="shared" si="50"/>
        <v>48</v>
      </c>
      <c r="AH11" s="776">
        <f>+'Plan - Semanal'!$I$45+'Plan - Semanal'!$I$46+'Plan - Semanal'!$I$47+'Plan - Semanal'!$I$48</f>
        <v>0</v>
      </c>
      <c r="AI11" s="777">
        <f t="shared" si="51"/>
        <v>1200</v>
      </c>
      <c r="AJ11" s="802">
        <f t="shared" si="52"/>
        <v>48</v>
      </c>
      <c r="AK11" s="783">
        <f>+'Plan - Semanal'!$M$45+'Plan - Semanal'!$M$46+'Plan - Semanal'!$M$47+'Plan - Semanal'!$M$48</f>
        <v>0</v>
      </c>
      <c r="AL11" s="792">
        <f t="shared" si="53"/>
        <v>1200</v>
      </c>
      <c r="AM11" s="843">
        <f t="shared" si="54"/>
        <v>48</v>
      </c>
      <c r="AN11" s="783">
        <f>+'Plan - Semanal'!$N$45+'Plan - Semanal'!$N$46+'Plan - Semanal'!$N$47+'Plan - Semanal'!$N$48</f>
        <v>0</v>
      </c>
      <c r="AO11" s="792">
        <f t="shared" si="55"/>
        <v>1200</v>
      </c>
      <c r="AP11" s="843">
        <f t="shared" si="56"/>
        <v>48</v>
      </c>
      <c r="AQ11" s="783">
        <f>+'Plan - Semanal'!$O$45+'Plan - Semanal'!$O$46+'Plan - Semanal'!$O$47+'Plan - Semanal'!$O$48</f>
        <v>0</v>
      </c>
      <c r="AR11" s="792">
        <f t="shared" si="57"/>
        <v>1200</v>
      </c>
      <c r="AS11" s="843">
        <f t="shared" si="58"/>
        <v>48</v>
      </c>
    </row>
    <row r="12" spans="1:45" x14ac:dyDescent="0.25">
      <c r="A12" s="779" t="s">
        <v>259</v>
      </c>
      <c r="B12" s="779" t="s">
        <v>259</v>
      </c>
      <c r="C12" s="780">
        <v>1</v>
      </c>
      <c r="D12" s="780" t="s">
        <v>253</v>
      </c>
      <c r="E12" s="768">
        <v>40</v>
      </c>
      <c r="F12" s="780" t="s">
        <v>254</v>
      </c>
      <c r="H12" s="781">
        <v>66</v>
      </c>
      <c r="I12" s="776" t="s">
        <v>253</v>
      </c>
      <c r="J12" s="771"/>
      <c r="K12" s="782">
        <f t="shared" si="37"/>
        <v>2640</v>
      </c>
      <c r="L12" s="771"/>
      <c r="M12" s="783">
        <v>35</v>
      </c>
      <c r="N12" s="784">
        <f t="shared" si="38"/>
        <v>75.428571428571431</v>
      </c>
      <c r="O12" s="775"/>
      <c r="P12" s="776">
        <f>+'Plan - Semanal'!$C$49+'Plan - Semanal'!$C$50+'Plan - Semanal'!$C$51+'Plan - Semanal'!$C$52</f>
        <v>0</v>
      </c>
      <c r="Q12" s="777">
        <f t="shared" si="39"/>
        <v>2640</v>
      </c>
      <c r="R12" s="843">
        <f t="shared" si="40"/>
        <v>75.428571428571431</v>
      </c>
      <c r="S12" s="844">
        <f>+'Plan - Semanal'!$D$49+'Plan - Semanal'!$D$50+'Plan - Semanal'!$D$51+'Plan - Semanal'!$D$52</f>
        <v>0</v>
      </c>
      <c r="T12" s="788">
        <f t="shared" si="41"/>
        <v>2640</v>
      </c>
      <c r="U12" s="843">
        <f t="shared" si="42"/>
        <v>75.428571428571431</v>
      </c>
      <c r="V12" s="782">
        <f>+'Plan - Semanal'!$E$49+'Plan - Semanal'!$E$50+'Plan - Semanal'!$E$51+'Plan - Semanal'!$E$52</f>
        <v>0</v>
      </c>
      <c r="W12" s="790">
        <f t="shared" si="43"/>
        <v>2640</v>
      </c>
      <c r="X12" s="843">
        <f t="shared" si="44"/>
        <v>75.428571428571431</v>
      </c>
      <c r="Y12" s="844">
        <f>+'Plan - Semanal'!$F$49+'Plan - Semanal'!$F$50+'Plan - Semanal'!$F$51+'Plan - Semanal'!$F$52</f>
        <v>0</v>
      </c>
      <c r="Z12" s="788">
        <f t="shared" si="45"/>
        <v>2640</v>
      </c>
      <c r="AA12" s="843">
        <f t="shared" si="46"/>
        <v>75.428571428571431</v>
      </c>
      <c r="AB12" s="776">
        <f>+'Plan - Semanal'!$G$49+'Plan - Semanal'!$G$50+'Plan - Semanal'!$G$51+'Plan - Semanal'!$G$52</f>
        <v>0</v>
      </c>
      <c r="AC12" s="777">
        <f t="shared" si="47"/>
        <v>2640</v>
      </c>
      <c r="AD12" s="843">
        <f t="shared" si="48"/>
        <v>75.428571428571431</v>
      </c>
      <c r="AE12" s="776">
        <f>+'Plan - Semanal'!$H$49+'Plan - Semanal'!$H$50+'Plan - Semanal'!$H$51+'Plan - Semanal'!$H$52</f>
        <v>0</v>
      </c>
      <c r="AF12" s="777">
        <f t="shared" si="49"/>
        <v>2640</v>
      </c>
      <c r="AG12" s="802">
        <f t="shared" si="50"/>
        <v>75.428571428571431</v>
      </c>
      <c r="AH12" s="776">
        <f>+'Plan - Semanal'!$I$49+'Plan - Semanal'!$I$50+'Plan - Semanal'!$I$51+'Plan - Semanal'!$I$52</f>
        <v>0</v>
      </c>
      <c r="AI12" s="777">
        <f t="shared" si="51"/>
        <v>2640</v>
      </c>
      <c r="AJ12" s="802">
        <f t="shared" si="52"/>
        <v>75.428571428571431</v>
      </c>
      <c r="AK12" s="783">
        <f>+'Plan - Semanal'!$M$49+'Plan - Semanal'!$M$50+'Plan - Semanal'!$M$51+'Plan - Semanal'!$M$52</f>
        <v>0</v>
      </c>
      <c r="AL12" s="792">
        <f t="shared" si="53"/>
        <v>2640</v>
      </c>
      <c r="AM12" s="843">
        <f t="shared" si="54"/>
        <v>75.428571428571431</v>
      </c>
      <c r="AN12" s="783">
        <f>+'Plan - Semanal'!$N$49+'Plan - Semanal'!$N$50+'Plan - Semanal'!$N$51+'Plan - Semanal'!$N$52</f>
        <v>0</v>
      </c>
      <c r="AO12" s="792">
        <f t="shared" si="55"/>
        <v>2640</v>
      </c>
      <c r="AP12" s="843">
        <f t="shared" si="56"/>
        <v>75.428571428571431</v>
      </c>
      <c r="AQ12" s="783">
        <f>+'Plan - Semanal'!$O$49+'Plan - Semanal'!$O$50+'Plan - Semanal'!$O$51+'Plan - Semanal'!$O$52</f>
        <v>0</v>
      </c>
      <c r="AR12" s="792">
        <f t="shared" si="57"/>
        <v>2640</v>
      </c>
      <c r="AS12" s="843">
        <f t="shared" si="58"/>
        <v>75.428571428571431</v>
      </c>
    </row>
    <row r="13" spans="1:45" x14ac:dyDescent="0.25">
      <c r="A13" s="1053" t="s">
        <v>449</v>
      </c>
      <c r="B13" s="1053" t="s">
        <v>449</v>
      </c>
      <c r="C13" s="780">
        <v>1</v>
      </c>
      <c r="D13" s="780" t="s">
        <v>253</v>
      </c>
      <c r="E13" s="768">
        <v>40</v>
      </c>
      <c r="F13" s="780" t="s">
        <v>254</v>
      </c>
      <c r="H13" s="781">
        <v>154</v>
      </c>
      <c r="I13" s="776" t="s">
        <v>253</v>
      </c>
      <c r="J13" s="771"/>
      <c r="K13" s="782">
        <f t="shared" si="37"/>
        <v>6160</v>
      </c>
      <c r="L13" s="771"/>
      <c r="M13" s="783">
        <v>200</v>
      </c>
      <c r="N13" s="784">
        <f t="shared" si="38"/>
        <v>30.8</v>
      </c>
      <c r="O13" s="775"/>
      <c r="P13" s="776">
        <f>+'Plan - Semanal'!$C$53+'Plan - Semanal'!$C$54+'Plan - Semanal'!$C$55+'Plan - Semanal'!$C$56</f>
        <v>0</v>
      </c>
      <c r="Q13" s="777">
        <f t="shared" si="39"/>
        <v>6160</v>
      </c>
      <c r="R13" s="843">
        <f t="shared" si="40"/>
        <v>30.8</v>
      </c>
      <c r="S13" s="844">
        <f>+'Plan - Semanal'!$D$53+'Plan - Semanal'!$D$54+'Plan - Semanal'!$D$55+'Plan - Semanal'!$D$56</f>
        <v>0</v>
      </c>
      <c r="T13" s="788">
        <f t="shared" si="41"/>
        <v>6160</v>
      </c>
      <c r="U13" s="843">
        <f t="shared" si="42"/>
        <v>30.8</v>
      </c>
      <c r="V13" s="782">
        <f>+'Plan - Semanal'!$E$53+'Plan - Semanal'!$E$54+'Plan - Semanal'!$E$55+'Plan - Semanal'!$E$56</f>
        <v>0</v>
      </c>
      <c r="W13" s="790">
        <f t="shared" si="43"/>
        <v>6160</v>
      </c>
      <c r="X13" s="843">
        <f t="shared" si="44"/>
        <v>30.8</v>
      </c>
      <c r="Y13" s="844">
        <f>+'Plan - Semanal'!$F$53+'Plan - Semanal'!$F$54+'Plan - Semanal'!$F$55+'Plan - Semanal'!$F$56</f>
        <v>0</v>
      </c>
      <c r="Z13" s="788">
        <f t="shared" si="45"/>
        <v>6160</v>
      </c>
      <c r="AA13" s="843">
        <f t="shared" si="46"/>
        <v>30.8</v>
      </c>
      <c r="AB13" s="776">
        <f>+'Plan - Semanal'!$G$53+'Plan - Semanal'!$G$54+'Plan - Semanal'!$G$55+'Plan - Semanal'!$G$56</f>
        <v>0</v>
      </c>
      <c r="AC13" s="777">
        <f t="shared" si="47"/>
        <v>6160</v>
      </c>
      <c r="AD13" s="843">
        <f t="shared" si="48"/>
        <v>30.8</v>
      </c>
      <c r="AE13" s="776">
        <f>+'Plan - Semanal'!$H$53+'Plan - Semanal'!$H$54+'Plan - Semanal'!$H$55+'Plan - Semanal'!$H$56</f>
        <v>700</v>
      </c>
      <c r="AF13" s="777">
        <f t="shared" si="49"/>
        <v>5460</v>
      </c>
      <c r="AG13" s="802">
        <f t="shared" si="50"/>
        <v>27.3</v>
      </c>
      <c r="AH13" s="776">
        <f>+'Plan - Semanal'!$I$53+'Plan - Semanal'!$I$54+'Plan - Semanal'!$I$55+'Plan - Semanal'!$I$56</f>
        <v>0</v>
      </c>
      <c r="AI13" s="777">
        <f t="shared" si="51"/>
        <v>5460</v>
      </c>
      <c r="AJ13" s="802">
        <f t="shared" si="52"/>
        <v>27.3</v>
      </c>
      <c r="AK13" s="783">
        <f>+'Plan - Semanal'!$M$53+'Plan - Semanal'!$M$54+'Plan - Semanal'!$M$55+'Plan - Semanal'!$M$56</f>
        <v>0</v>
      </c>
      <c r="AL13" s="792">
        <f t="shared" si="53"/>
        <v>5460</v>
      </c>
      <c r="AM13" s="843">
        <f t="shared" si="54"/>
        <v>27.3</v>
      </c>
      <c r="AN13" s="783">
        <f>+'Plan - Semanal'!$N$53+'Plan - Semanal'!$N$54+'Plan - Semanal'!$N$55+'Plan - Semanal'!$N$56</f>
        <v>0</v>
      </c>
      <c r="AO13" s="792">
        <f t="shared" si="55"/>
        <v>5460</v>
      </c>
      <c r="AP13" s="843">
        <f t="shared" si="56"/>
        <v>27.3</v>
      </c>
      <c r="AQ13" s="783">
        <f>+'Plan - Semanal'!$O$53+'Plan - Semanal'!$O$54+'Plan - Semanal'!$O$55+'Plan - Semanal'!$O$56</f>
        <v>0</v>
      </c>
      <c r="AR13" s="792">
        <f t="shared" si="57"/>
        <v>5460</v>
      </c>
      <c r="AS13" s="843">
        <f t="shared" si="58"/>
        <v>27.3</v>
      </c>
    </row>
    <row r="14" spans="1:45" x14ac:dyDescent="0.25">
      <c r="A14" s="1046" t="s">
        <v>436</v>
      </c>
      <c r="B14" s="1046" t="s">
        <v>436</v>
      </c>
      <c r="C14" s="780">
        <v>1</v>
      </c>
      <c r="D14" s="780" t="s">
        <v>253</v>
      </c>
      <c r="E14" s="768">
        <v>40</v>
      </c>
      <c r="F14" s="780" t="s">
        <v>254</v>
      </c>
      <c r="H14" s="781">
        <v>42</v>
      </c>
      <c r="I14" s="776" t="s">
        <v>253</v>
      </c>
      <c r="J14" s="771"/>
      <c r="K14" s="782">
        <f t="shared" ref="K14:K15" si="59">(H14*E14)/C14</f>
        <v>1680</v>
      </c>
      <c r="L14" s="771"/>
      <c r="M14" s="783">
        <v>125</v>
      </c>
      <c r="N14" s="784">
        <f t="shared" ref="N14:N15" si="60">K14/M14</f>
        <v>13.44</v>
      </c>
      <c r="O14" s="775"/>
      <c r="P14" s="776">
        <f>+'Plan - Semanal'!$C$57+'Plan - Semanal'!$C$58+'Plan - Semanal'!$C$59+'Plan - Semanal'!$C$60</f>
        <v>0</v>
      </c>
      <c r="Q14" s="777">
        <f t="shared" ref="Q14:Q15" si="61">K14-P14</f>
        <v>1680</v>
      </c>
      <c r="R14" s="843">
        <f t="shared" ref="R14:R15" si="62">Q14/$M14</f>
        <v>13.44</v>
      </c>
      <c r="S14" s="844">
        <f>+'Plan - Semanal'!$D$57+'Plan - Semanal'!$D$58+'Plan - Semanal'!$D$59+'Plan - Semanal'!$D$60</f>
        <v>0</v>
      </c>
      <c r="T14" s="788">
        <f t="shared" ref="T14:T15" si="63">Q14-S14</f>
        <v>1680</v>
      </c>
      <c r="U14" s="843">
        <f t="shared" ref="U14:U15" si="64">T14/$M14</f>
        <v>13.44</v>
      </c>
      <c r="V14" s="782">
        <f>+'Plan - Semanal'!$D$57+'Plan - Semanal'!$D$58+'Plan - Semanal'!$D$59+'Plan - Semanal'!$D$60</f>
        <v>0</v>
      </c>
      <c r="W14" s="790">
        <f t="shared" ref="W14:W15" si="65">T14-V14</f>
        <v>1680</v>
      </c>
      <c r="X14" s="843">
        <f t="shared" ref="X14:X15" si="66">W14/$M14</f>
        <v>13.44</v>
      </c>
      <c r="Y14" s="844">
        <f>+'Plan - Semanal'!$F$57+'Plan - Semanal'!$F$58+'Plan - Semanal'!$F$59+'Plan - Semanal'!$F$60</f>
        <v>0</v>
      </c>
      <c r="Z14" s="788">
        <f t="shared" ref="Z14:Z15" si="67">W14-Y14</f>
        <v>1680</v>
      </c>
      <c r="AA14" s="843">
        <f t="shared" ref="AA14:AA15" si="68">Z14/$M14</f>
        <v>13.44</v>
      </c>
      <c r="AB14" s="776">
        <f>+'Plan - Semanal'!$G$57+'Plan - Semanal'!$G$58+'Plan - Semanal'!$G$59+'Plan - Semanal'!$G$60</f>
        <v>0</v>
      </c>
      <c r="AC14" s="777">
        <f t="shared" ref="AC14:AC15" si="69">Z14-AB14</f>
        <v>1680</v>
      </c>
      <c r="AD14" s="843">
        <f t="shared" ref="AD14:AD15" si="70">AC14/$M14</f>
        <v>13.44</v>
      </c>
      <c r="AE14" s="776">
        <f>+'Plan - Semanal'!$H$57+'Plan - Semanal'!$H$58+'Plan - Semanal'!$H$59+'Plan - Semanal'!$H$60</f>
        <v>0</v>
      </c>
      <c r="AF14" s="777">
        <f t="shared" ref="AF14:AF15" si="71">AC14-AE14</f>
        <v>1680</v>
      </c>
      <c r="AG14" s="802">
        <f t="shared" ref="AG14:AG15" si="72">AF14/$M14</f>
        <v>13.44</v>
      </c>
      <c r="AH14" s="776">
        <f>+'Plan - Semanal'!$I$57+'Plan - Semanal'!$I$58+'Plan - Semanal'!$I$59+'Plan - Semanal'!$I$60</f>
        <v>0</v>
      </c>
      <c r="AI14" s="777">
        <f t="shared" ref="AI14:AI15" si="73">AF14-AH14</f>
        <v>1680</v>
      </c>
      <c r="AJ14" s="802">
        <f t="shared" ref="AJ14:AJ15" si="74">AI14/$M14</f>
        <v>13.44</v>
      </c>
      <c r="AK14" s="783">
        <f>+'Plan - Semanal'!$M$57+'Plan - Semanal'!$M$58+'Plan - Semanal'!$M$59+'Plan - Semanal'!$M$60</f>
        <v>0</v>
      </c>
      <c r="AL14" s="792">
        <f t="shared" ref="AL14:AL15" si="75">AI14-AK14</f>
        <v>1680</v>
      </c>
      <c r="AM14" s="843">
        <f t="shared" ref="AM14:AM15" si="76">AL14/$M14</f>
        <v>13.44</v>
      </c>
      <c r="AN14" s="783">
        <f>+'Plan - Semanal'!$N$57+'Plan - Semanal'!$N$58+'Plan - Semanal'!$N$59+'Plan - Semanal'!$N$60</f>
        <v>0</v>
      </c>
      <c r="AO14" s="792">
        <f t="shared" ref="AO14:AO15" si="77">AL14-AN14</f>
        <v>1680</v>
      </c>
      <c r="AP14" s="843">
        <f t="shared" ref="AP14:AP15" si="78">AO14/$M14</f>
        <v>13.44</v>
      </c>
      <c r="AQ14" s="783">
        <f>+'Plan - Semanal'!$O$57+'Plan - Semanal'!$O$58+'Plan - Semanal'!$O$59+'Plan - Semanal'!$O$60</f>
        <v>0</v>
      </c>
      <c r="AR14" s="792">
        <f t="shared" ref="AR14:AR15" si="79">AO14-AQ14</f>
        <v>1680</v>
      </c>
      <c r="AS14" s="843">
        <f t="shared" ref="AS14:AS15" si="80">AR14/M14</f>
        <v>13.44</v>
      </c>
    </row>
    <row r="15" spans="1:45" x14ac:dyDescent="0.25">
      <c r="A15" s="1046" t="s">
        <v>437</v>
      </c>
      <c r="B15" s="1046" t="s">
        <v>437</v>
      </c>
      <c r="C15" s="780">
        <v>1</v>
      </c>
      <c r="D15" s="780" t="s">
        <v>253</v>
      </c>
      <c r="E15" s="768">
        <v>40</v>
      </c>
      <c r="F15" s="780" t="s">
        <v>254</v>
      </c>
      <c r="H15" s="781">
        <v>61</v>
      </c>
      <c r="I15" s="776" t="s">
        <v>253</v>
      </c>
      <c r="J15" s="771"/>
      <c r="K15" s="782">
        <f t="shared" si="59"/>
        <v>2440</v>
      </c>
      <c r="L15" s="771"/>
      <c r="M15" s="783">
        <v>40</v>
      </c>
      <c r="N15" s="784">
        <f t="shared" si="60"/>
        <v>61</v>
      </c>
      <c r="O15" s="775"/>
      <c r="P15" s="776">
        <f>+'Plan - Semanal'!$C$61+'Plan - Semanal'!$C$62+'Plan - Semanal'!$C$63+'Plan - Semanal'!$C$64</f>
        <v>0</v>
      </c>
      <c r="Q15" s="777">
        <f t="shared" si="61"/>
        <v>2440</v>
      </c>
      <c r="R15" s="843">
        <f t="shared" si="62"/>
        <v>61</v>
      </c>
      <c r="S15" s="844">
        <f>+'Plan - Semanal'!$D$61+'Plan - Semanal'!$D$62+'Plan - Semanal'!$D$63+'Plan - Semanal'!$D$64</f>
        <v>0</v>
      </c>
      <c r="T15" s="788">
        <f t="shared" si="63"/>
        <v>2440</v>
      </c>
      <c r="U15" s="843">
        <f t="shared" si="64"/>
        <v>61</v>
      </c>
      <c r="V15" s="782">
        <f>+'Plan - Semanal'!$E$61+'Plan - Semanal'!$E$62+'Plan - Semanal'!$E$63+'Plan - Semanal'!$E$64</f>
        <v>0</v>
      </c>
      <c r="W15" s="790">
        <f t="shared" si="65"/>
        <v>2440</v>
      </c>
      <c r="X15" s="843">
        <f t="shared" si="66"/>
        <v>61</v>
      </c>
      <c r="Y15" s="844">
        <f>+'Plan - Semanal'!$F$61+'Plan - Semanal'!$F$62+'Plan - Semanal'!$F$63+'Plan - Semanal'!$F$64</f>
        <v>200</v>
      </c>
      <c r="Z15" s="788">
        <f t="shared" si="67"/>
        <v>2240</v>
      </c>
      <c r="AA15" s="843">
        <f t="shared" si="68"/>
        <v>56</v>
      </c>
      <c r="AB15" s="776">
        <f>+'Plan - Semanal'!$G$61+'Plan - Semanal'!$G$62+'Plan - Semanal'!$G$63+'Plan - Semanal'!$G$64</f>
        <v>0</v>
      </c>
      <c r="AC15" s="777">
        <f t="shared" si="69"/>
        <v>2240</v>
      </c>
      <c r="AD15" s="843">
        <f t="shared" si="70"/>
        <v>56</v>
      </c>
      <c r="AE15" s="776">
        <f>+'Plan - Semanal'!$H$61+'Plan - Semanal'!$H$62+'Plan - Semanal'!$H$63+'Plan - Semanal'!$H$64</f>
        <v>0</v>
      </c>
      <c r="AF15" s="777">
        <f t="shared" si="71"/>
        <v>2240</v>
      </c>
      <c r="AG15" s="802">
        <f t="shared" si="72"/>
        <v>56</v>
      </c>
      <c r="AH15" s="776">
        <f>+'Plan - Semanal'!$I$61+'Plan - Semanal'!$I$62+'Plan - Semanal'!$I$63+'Plan - Semanal'!$I$64</f>
        <v>0</v>
      </c>
      <c r="AI15" s="777">
        <f t="shared" si="73"/>
        <v>2240</v>
      </c>
      <c r="AJ15" s="802">
        <f t="shared" si="74"/>
        <v>56</v>
      </c>
      <c r="AK15" s="783">
        <f>+'Plan - Semanal'!$M$61+'Plan - Semanal'!$M$62+'Plan - Semanal'!$M$63+'Plan - Semanal'!$M$64</f>
        <v>0</v>
      </c>
      <c r="AL15" s="792">
        <f t="shared" si="75"/>
        <v>2240</v>
      </c>
      <c r="AM15" s="843">
        <f t="shared" si="76"/>
        <v>56</v>
      </c>
      <c r="AN15" s="783">
        <f>+'Plan - Semanal'!$N$61+'Plan - Semanal'!$N$62+'Plan - Semanal'!$N$63+'Plan - Semanal'!$N$64</f>
        <v>0</v>
      </c>
      <c r="AO15" s="792">
        <f t="shared" si="77"/>
        <v>2240</v>
      </c>
      <c r="AP15" s="843">
        <f t="shared" si="78"/>
        <v>56</v>
      </c>
      <c r="AQ15" s="783">
        <f>+'Plan - Semanal'!$O$61+'Plan - Semanal'!$O$62+'Plan - Semanal'!$O$63+'Plan - Semanal'!$O$64</f>
        <v>0</v>
      </c>
      <c r="AR15" s="792">
        <f t="shared" si="79"/>
        <v>2240</v>
      </c>
      <c r="AS15" s="843">
        <f t="shared" si="80"/>
        <v>56</v>
      </c>
    </row>
    <row r="16" spans="1:45" x14ac:dyDescent="0.25">
      <c r="A16" s="934" t="s">
        <v>387</v>
      </c>
      <c r="B16" s="934" t="s">
        <v>387</v>
      </c>
      <c r="C16" s="780">
        <v>1</v>
      </c>
      <c r="D16" s="780" t="s">
        <v>253</v>
      </c>
      <c r="E16" s="768">
        <v>40</v>
      </c>
      <c r="F16" s="780" t="s">
        <v>254</v>
      </c>
      <c r="H16" s="781">
        <v>154</v>
      </c>
      <c r="I16" s="776" t="s">
        <v>253</v>
      </c>
      <c r="J16" s="771"/>
      <c r="K16" s="782">
        <f t="shared" ref="K16" si="81">(H16*E16)/C16</f>
        <v>6160</v>
      </c>
      <c r="L16" s="771"/>
      <c r="M16" s="783">
        <v>75</v>
      </c>
      <c r="N16" s="784">
        <f t="shared" ref="N16" si="82">K16/M16</f>
        <v>82.13333333333334</v>
      </c>
      <c r="O16" s="775"/>
      <c r="P16" s="776">
        <f>+'Plan - Semanal'!$C$65+'Plan - Semanal'!$C$66+'Plan - Semanal'!$C$67+'Plan - Semanal'!$C$68</f>
        <v>0</v>
      </c>
      <c r="Q16" s="777">
        <f t="shared" ref="Q16" si="83">K16-P16</f>
        <v>6160</v>
      </c>
      <c r="R16" s="843">
        <f t="shared" ref="R16:R40" si="84">Q16/$M16</f>
        <v>82.13333333333334</v>
      </c>
      <c r="S16" s="844">
        <f>+'Plan - Semanal'!$D$65+'Plan - Semanal'!$D$66+'Plan - Semanal'!$D$67+'Plan - Semanal'!$D$68</f>
        <v>0</v>
      </c>
      <c r="T16" s="788">
        <f t="shared" ref="T16" si="85">Q16-S16</f>
        <v>6160</v>
      </c>
      <c r="U16" s="843">
        <f t="shared" ref="U16:U40" si="86">T16/$M16</f>
        <v>82.13333333333334</v>
      </c>
      <c r="V16" s="782">
        <f>+'Plan - Semanal'!$E$65+'Plan - Semanal'!$E$66+'Plan - Semanal'!$E$67+'Plan - Semanal'!$E$68</f>
        <v>0</v>
      </c>
      <c r="W16" s="790">
        <f t="shared" ref="W16" si="87">T16-V16</f>
        <v>6160</v>
      </c>
      <c r="X16" s="843">
        <f t="shared" ref="X16:X40" si="88">W16/$M16</f>
        <v>82.13333333333334</v>
      </c>
      <c r="Y16" s="844">
        <f>+'Plan - Semanal'!$F$65+'Plan - Semanal'!$F$66+'Plan - Semanal'!$F$67+'Plan - Semanal'!$F$68</f>
        <v>0</v>
      </c>
      <c r="Z16" s="788">
        <f t="shared" ref="Z16" si="89">W16-Y16</f>
        <v>6160</v>
      </c>
      <c r="AA16" s="843">
        <f t="shared" ref="AA16:AA40" si="90">Z16/$M16</f>
        <v>82.13333333333334</v>
      </c>
      <c r="AB16" s="776">
        <f>+'Plan - Semanal'!$G$65+'Plan - Semanal'!$G$66+'Plan - Semanal'!$G$67+'Plan - Semanal'!$G$68</f>
        <v>700</v>
      </c>
      <c r="AC16" s="777">
        <f t="shared" ref="AC16" si="91">Z16-AB16</f>
        <v>5460</v>
      </c>
      <c r="AD16" s="843">
        <f t="shared" ref="AD16:AD40" si="92">AC16/$M16</f>
        <v>72.8</v>
      </c>
      <c r="AE16" s="776">
        <f>+'Plan - Semanal'!$H$65+'Plan - Semanal'!$H$66+'Plan - Semanal'!$H$67+'Plan - Semanal'!$H$68</f>
        <v>0</v>
      </c>
      <c r="AF16" s="777">
        <f t="shared" ref="AF16" si="93">AC16-AE16</f>
        <v>5460</v>
      </c>
      <c r="AG16" s="802">
        <f t="shared" ref="AG16:AG40" si="94">AF16/$M16</f>
        <v>72.8</v>
      </c>
      <c r="AH16" s="776">
        <f>+'Plan - Semanal'!$I$65+'Plan - Semanal'!$I$66+'Plan - Semanal'!$I$67+'Plan - Semanal'!$I$68</f>
        <v>0</v>
      </c>
      <c r="AI16" s="777">
        <f t="shared" ref="AI16" si="95">AF16-AH16</f>
        <v>5460</v>
      </c>
      <c r="AJ16" s="802">
        <f t="shared" ref="AJ16:AJ40" si="96">AI16/$M16</f>
        <v>72.8</v>
      </c>
      <c r="AK16" s="783">
        <f>+'Plan - Semanal'!$M$65+'Plan - Semanal'!$M$66+'Plan - Semanal'!$M$67+'Plan - Semanal'!$M$68</f>
        <v>0</v>
      </c>
      <c r="AL16" s="792">
        <f t="shared" ref="AL16" si="97">AI16-AK16</f>
        <v>5460</v>
      </c>
      <c r="AM16" s="843">
        <f t="shared" ref="AM16:AM40" si="98">AL16/$M16</f>
        <v>72.8</v>
      </c>
      <c r="AN16" s="783">
        <f>+'Plan - Semanal'!$N$65+'Plan - Semanal'!$N$66+'Plan - Semanal'!$N$67+'Plan - Semanal'!$N$68</f>
        <v>0</v>
      </c>
      <c r="AO16" s="792">
        <f t="shared" ref="AO16" si="99">AL16-AN16</f>
        <v>5460</v>
      </c>
      <c r="AP16" s="843">
        <f t="shared" ref="AP16:AP40" si="100">AO16/$M16</f>
        <v>72.8</v>
      </c>
      <c r="AQ16" s="783">
        <f>+'Plan - Semanal'!$O$65+'Plan - Semanal'!$O$66+'Plan - Semanal'!$O$67+'Plan - Semanal'!$O$68</f>
        <v>0</v>
      </c>
      <c r="AR16" s="792">
        <f t="shared" ref="AR16" si="101">AO16-AQ16</f>
        <v>5460</v>
      </c>
      <c r="AS16" s="843">
        <f t="shared" ref="AS16" si="102">AR16/M16</f>
        <v>72.8</v>
      </c>
    </row>
    <row r="17" spans="1:45" x14ac:dyDescent="0.25">
      <c r="A17" s="779" t="s">
        <v>261</v>
      </c>
      <c r="B17" s="779" t="s">
        <v>262</v>
      </c>
      <c r="C17" s="780">
        <v>1</v>
      </c>
      <c r="D17" s="780" t="s">
        <v>253</v>
      </c>
      <c r="E17" s="780">
        <v>19</v>
      </c>
      <c r="F17" s="780" t="s">
        <v>254</v>
      </c>
      <c r="H17" s="781">
        <v>682</v>
      </c>
      <c r="I17" s="776" t="s">
        <v>253</v>
      </c>
      <c r="J17" s="771"/>
      <c r="K17" s="782">
        <f t="shared" ref="K17:K28" si="103">(H17*E17)/C17</f>
        <v>12958</v>
      </c>
      <c r="L17" s="771"/>
      <c r="M17" s="783">
        <v>2000</v>
      </c>
      <c r="N17" s="784">
        <f>K17/M17</f>
        <v>6.4790000000000001</v>
      </c>
      <c r="O17" s="775"/>
      <c r="P17" s="776">
        <f>'Plan - Semanal'!$C$79</f>
        <v>1900</v>
      </c>
      <c r="Q17" s="777">
        <f>K17-P17</f>
        <v>11058</v>
      </c>
      <c r="R17" s="843">
        <f t="shared" si="84"/>
        <v>5.5289999999999999</v>
      </c>
      <c r="S17" s="844">
        <f>+'Plan - Semanal'!$D$79</f>
        <v>1900</v>
      </c>
      <c r="T17" s="788">
        <f>Q17-S17</f>
        <v>9158</v>
      </c>
      <c r="U17" s="843">
        <f t="shared" si="86"/>
        <v>4.5789999999999997</v>
      </c>
      <c r="V17" s="782">
        <f>+'Plan - Semanal'!$E$79</f>
        <v>1900</v>
      </c>
      <c r="W17" s="790">
        <f>T17-V17</f>
        <v>7258</v>
      </c>
      <c r="X17" s="843">
        <f t="shared" si="88"/>
        <v>3.629</v>
      </c>
      <c r="Y17" s="844">
        <f>+'Plan - Semanal'!$F$79</f>
        <v>1900</v>
      </c>
      <c r="Z17" s="788">
        <f>W17-Y17</f>
        <v>5358</v>
      </c>
      <c r="AA17" s="843">
        <f t="shared" si="90"/>
        <v>2.6789999999999998</v>
      </c>
      <c r="AB17" s="776">
        <f>+'Plan - Semanal'!$G$79</f>
        <v>1900</v>
      </c>
      <c r="AC17" s="777">
        <f>Z17-AB17</f>
        <v>3458</v>
      </c>
      <c r="AD17" s="843">
        <f t="shared" si="92"/>
        <v>1.7290000000000001</v>
      </c>
      <c r="AE17" s="776">
        <f>+'Plan - Semanal'!$H$79</f>
        <v>700</v>
      </c>
      <c r="AF17" s="777">
        <f>AC17-AE17</f>
        <v>2758</v>
      </c>
      <c r="AG17" s="802">
        <f t="shared" si="94"/>
        <v>1.379</v>
      </c>
      <c r="AH17" s="776">
        <f>+'Plan - Semanal'!$I$79</f>
        <v>0</v>
      </c>
      <c r="AI17" s="777">
        <f>AF17-AH17</f>
        <v>2758</v>
      </c>
      <c r="AJ17" s="802">
        <f t="shared" si="96"/>
        <v>1.379</v>
      </c>
      <c r="AK17" s="783">
        <f>+'Plan - Semanal'!$M$79</f>
        <v>0</v>
      </c>
      <c r="AL17" s="792">
        <f>AI17-AK17</f>
        <v>2758</v>
      </c>
      <c r="AM17" s="843">
        <f t="shared" si="98"/>
        <v>1.379</v>
      </c>
      <c r="AN17" s="783">
        <f>+'Plan - Semanal'!$N$79</f>
        <v>0</v>
      </c>
      <c r="AO17" s="792">
        <f>AL17-AN17</f>
        <v>2758</v>
      </c>
      <c r="AP17" s="843">
        <f t="shared" si="100"/>
        <v>1.379</v>
      </c>
      <c r="AQ17" s="783">
        <f>+'Plan - Semanal'!$O$79</f>
        <v>0</v>
      </c>
      <c r="AR17" s="792">
        <f>AO17-AQ17</f>
        <v>2758</v>
      </c>
      <c r="AS17" s="843">
        <f>AR17/M17</f>
        <v>1.379</v>
      </c>
    </row>
    <row r="18" spans="1:45" x14ac:dyDescent="0.25">
      <c r="A18" s="779" t="s">
        <v>263</v>
      </c>
      <c r="B18" s="779" t="s">
        <v>264</v>
      </c>
      <c r="C18" s="780">
        <v>300000</v>
      </c>
      <c r="D18" s="780" t="s">
        <v>271</v>
      </c>
      <c r="E18" s="794">
        <v>1200</v>
      </c>
      <c r="F18" s="780" t="s">
        <v>254</v>
      </c>
      <c r="H18" s="781">
        <v>1012500</v>
      </c>
      <c r="I18" s="776" t="s">
        <v>271</v>
      </c>
      <c r="J18" s="771"/>
      <c r="K18" s="790">
        <f t="shared" si="103"/>
        <v>4050</v>
      </c>
      <c r="L18" s="771"/>
      <c r="M18" s="783">
        <v>250</v>
      </c>
      <c r="N18" s="784">
        <f>K18/M18</f>
        <v>16.2</v>
      </c>
      <c r="O18" s="775"/>
      <c r="P18" s="776">
        <f>'Plan - Semanal'!$C$9+'Plan - Semanal'!$C$10+'Plan - Semanal'!$C$11+'Plan - Semanal'!$C$12</f>
        <v>0</v>
      </c>
      <c r="Q18" s="777">
        <f>K18-P18</f>
        <v>4050</v>
      </c>
      <c r="R18" s="843">
        <f t="shared" si="84"/>
        <v>16.2</v>
      </c>
      <c r="S18" s="844">
        <f>'Plan - Semanal'!$D$9+'Plan - Semanal'!$D$10+'Plan - Semanal'!$D$11+'Plan - Semanal'!$D$12</f>
        <v>0</v>
      </c>
      <c r="T18" s="788">
        <f>Q18-S18</f>
        <v>4050</v>
      </c>
      <c r="U18" s="843">
        <f t="shared" si="86"/>
        <v>16.2</v>
      </c>
      <c r="V18" s="782">
        <f>'Plan - Semanal'!$E$9+'Plan - Semanal'!$E$10+'Plan - Semanal'!$E$11+'Plan - Semanal'!$E$12</f>
        <v>0</v>
      </c>
      <c r="W18" s="790">
        <f>T18-V18</f>
        <v>4050</v>
      </c>
      <c r="X18" s="843">
        <f t="shared" si="88"/>
        <v>16.2</v>
      </c>
      <c r="Y18" s="844">
        <f>'Plan - Semanal'!$F$9+'Plan - Semanal'!$F$10+'Plan - Semanal'!$F$11+'Plan - Semanal'!$F$12</f>
        <v>0</v>
      </c>
      <c r="Z18" s="788">
        <f>W18-Y18</f>
        <v>4050</v>
      </c>
      <c r="AA18" s="843">
        <f t="shared" si="90"/>
        <v>16.2</v>
      </c>
      <c r="AB18" s="776">
        <f>'Plan - Semanal'!$G$9+'Plan - Semanal'!$G$10+'Plan - Semanal'!$G$11+'Plan - Semanal'!$G$12</f>
        <v>0</v>
      </c>
      <c r="AC18" s="777">
        <f>Z18-AB18</f>
        <v>4050</v>
      </c>
      <c r="AD18" s="843">
        <f t="shared" si="92"/>
        <v>16.2</v>
      </c>
      <c r="AE18" s="776">
        <f>'Plan - Semanal'!$H$9+'Plan - Semanal'!$H$10+'Plan - Semanal'!$H$11+'Plan - Semanal'!$H$12</f>
        <v>0</v>
      </c>
      <c r="AF18" s="777">
        <f>AC18-AE18</f>
        <v>4050</v>
      </c>
      <c r="AG18" s="802">
        <f t="shared" si="94"/>
        <v>16.2</v>
      </c>
      <c r="AH18" s="776">
        <f>'Plan - Semanal'!$I$9+'Plan - Semanal'!$I$10+'Plan - Semanal'!$I$11+'Plan - Semanal'!$I$12</f>
        <v>0</v>
      </c>
      <c r="AI18" s="777">
        <f>AF18-AH18</f>
        <v>4050</v>
      </c>
      <c r="AJ18" s="802">
        <f t="shared" si="96"/>
        <v>16.2</v>
      </c>
      <c r="AK18" s="783">
        <f>'Plan - Semanal'!$M$9+'Plan - Semanal'!$M$10+'Plan - Semanal'!$M$11+'Plan - Semanal'!$M$12</f>
        <v>0</v>
      </c>
      <c r="AL18" s="792">
        <f>AI18-AK18</f>
        <v>4050</v>
      </c>
      <c r="AM18" s="843">
        <f t="shared" si="98"/>
        <v>16.2</v>
      </c>
      <c r="AN18" s="783">
        <f>'Plan - Semanal'!$N$9+'Plan - Semanal'!$N$10+'Plan - Semanal'!$N$11+'Plan - Semanal'!$N$12</f>
        <v>0</v>
      </c>
      <c r="AO18" s="792">
        <f>AL18-AN18</f>
        <v>4050</v>
      </c>
      <c r="AP18" s="843">
        <f t="shared" si="100"/>
        <v>16.2</v>
      </c>
      <c r="AQ18" s="783">
        <f>'Plan - Semanal'!$O$9+'Plan - Semanal'!$O$10+'Plan - Semanal'!$O$11+'Plan - Semanal'!$O$12</f>
        <v>0</v>
      </c>
      <c r="AR18" s="792">
        <f>AO18-AQ18</f>
        <v>4050</v>
      </c>
      <c r="AS18" s="843">
        <f>AR18/M18</f>
        <v>16.2</v>
      </c>
    </row>
    <row r="19" spans="1:45" x14ac:dyDescent="0.25">
      <c r="A19" s="779" t="s">
        <v>265</v>
      </c>
      <c r="B19" s="779" t="s">
        <v>266</v>
      </c>
      <c r="C19" s="780">
        <v>300000</v>
      </c>
      <c r="D19" s="832" t="s">
        <v>331</v>
      </c>
      <c r="E19" s="794">
        <v>1200</v>
      </c>
      <c r="F19" s="832" t="s">
        <v>254</v>
      </c>
      <c r="H19" s="781">
        <v>600000</v>
      </c>
      <c r="I19" s="837" t="s">
        <v>331</v>
      </c>
      <c r="J19" s="771"/>
      <c r="K19" s="790">
        <f t="shared" si="103"/>
        <v>2400</v>
      </c>
      <c r="L19" s="771"/>
      <c r="M19" s="783">
        <v>35</v>
      </c>
      <c r="N19" s="784">
        <f>K19/M19</f>
        <v>68.571428571428569</v>
      </c>
      <c r="O19" s="775"/>
      <c r="P19" s="776">
        <f>'Plan - Semanal'!$C$13+'Plan - Semanal'!$C$14+'Plan - Semanal'!$C$15+'Plan - Semanal'!$C$16</f>
        <v>0</v>
      </c>
      <c r="Q19" s="777">
        <f>K19-P19</f>
        <v>2400</v>
      </c>
      <c r="R19" s="843">
        <f t="shared" si="84"/>
        <v>68.571428571428569</v>
      </c>
      <c r="S19" s="844">
        <f>'Plan - Semanal'!$D$13+'Plan - Semanal'!$D$14+'Plan - Semanal'!$D$15+'Plan - Semanal'!$D$16</f>
        <v>0</v>
      </c>
      <c r="T19" s="788">
        <f t="shared" ref="T19:T28" si="104">Q19-S19</f>
        <v>2400</v>
      </c>
      <c r="U19" s="843">
        <f t="shared" si="86"/>
        <v>68.571428571428569</v>
      </c>
      <c r="V19" s="782">
        <f>'Plan - Semanal'!$E$13+'Plan - Semanal'!$E$14+'Plan - Semanal'!$E$15+'Plan - Semanal'!$E$16</f>
        <v>0</v>
      </c>
      <c r="W19" s="790">
        <f t="shared" ref="W19:W28" si="105">T19-V19</f>
        <v>2400</v>
      </c>
      <c r="X19" s="843">
        <f t="shared" si="88"/>
        <v>68.571428571428569</v>
      </c>
      <c r="Y19" s="844">
        <f>'Plan - Semanal'!$F$13+'Plan - Semanal'!$F$14+'Plan - Semanal'!$F$15+'Plan - Semanal'!$F$16</f>
        <v>0</v>
      </c>
      <c r="Z19" s="788">
        <f t="shared" ref="Z19:Z28" si="106">W19-Y19</f>
        <v>2400</v>
      </c>
      <c r="AA19" s="843">
        <f t="shared" si="90"/>
        <v>68.571428571428569</v>
      </c>
      <c r="AB19" s="776">
        <f>'Plan - Semanal'!$G$13+'Plan - Semanal'!$G$14+'Plan - Semanal'!$G$15+'Plan - Semanal'!$G$16</f>
        <v>0</v>
      </c>
      <c r="AC19" s="777">
        <f>Z19-AB19</f>
        <v>2400</v>
      </c>
      <c r="AD19" s="843">
        <f t="shared" si="92"/>
        <v>68.571428571428569</v>
      </c>
      <c r="AE19" s="776">
        <f>+'Plan - Semanal'!$H$13+'Plan - Semanal'!$H$14+'Plan - Semanal'!$H$15+'Plan - Semanal'!$H$16</f>
        <v>0</v>
      </c>
      <c r="AF19" s="777">
        <f t="shared" ref="AF19:AF28" si="107">AC19-AE19</f>
        <v>2400</v>
      </c>
      <c r="AG19" s="802">
        <f t="shared" si="94"/>
        <v>68.571428571428569</v>
      </c>
      <c r="AH19" s="776">
        <f>+'Plan - Semanal'!$I$13+'Plan - Semanal'!$I$14+'Plan - Semanal'!$I$15+'Plan - Semanal'!$I$16</f>
        <v>0</v>
      </c>
      <c r="AI19" s="777">
        <f>AF19-AH19</f>
        <v>2400</v>
      </c>
      <c r="AJ19" s="802">
        <f t="shared" si="96"/>
        <v>68.571428571428569</v>
      </c>
      <c r="AK19" s="783">
        <f>+'Plan - Semanal'!$M$13+'Plan - Semanal'!$M$14+'Plan - Semanal'!$M$15+'Plan - Semanal'!$M$16</f>
        <v>0</v>
      </c>
      <c r="AL19" s="792">
        <f>AI19-AK19</f>
        <v>2400</v>
      </c>
      <c r="AM19" s="843">
        <f t="shared" si="98"/>
        <v>68.571428571428569</v>
      </c>
      <c r="AN19" s="783">
        <f>+'Plan - Semanal'!$N$13+'Plan - Semanal'!$N$14+'Plan - Semanal'!$N$15+'Plan - Semanal'!$N$16</f>
        <v>0</v>
      </c>
      <c r="AO19" s="792">
        <f t="shared" ref="AO19:AO28" si="108">AL19-AN19</f>
        <v>2400</v>
      </c>
      <c r="AP19" s="843">
        <f t="shared" si="100"/>
        <v>68.571428571428569</v>
      </c>
      <c r="AQ19" s="783">
        <f>+'Plan - Semanal'!$O$13+'Plan - Semanal'!$O$14+'Plan - Semanal'!$O$15+'Plan - Semanal'!$O$16</f>
        <v>0</v>
      </c>
      <c r="AR19" s="792">
        <f t="shared" ref="AR19:AR28" si="109">AO19-AQ19</f>
        <v>2400</v>
      </c>
      <c r="AS19" s="843">
        <f t="shared" ref="AS19:AS28" si="110">AR19/M19</f>
        <v>68.571428571428569</v>
      </c>
    </row>
    <row r="20" spans="1:45" x14ac:dyDescent="0.25">
      <c r="A20" s="779" t="s">
        <v>267</v>
      </c>
      <c r="B20" s="779" t="s">
        <v>268</v>
      </c>
      <c r="C20" s="780">
        <v>300000</v>
      </c>
      <c r="D20" s="832" t="s">
        <v>331</v>
      </c>
      <c r="E20" s="794">
        <v>1200</v>
      </c>
      <c r="F20" s="780" t="s">
        <v>254</v>
      </c>
      <c r="H20" s="781">
        <v>525000</v>
      </c>
      <c r="I20" s="837" t="s">
        <v>271</v>
      </c>
      <c r="J20" s="771"/>
      <c r="K20" s="790">
        <f t="shared" si="103"/>
        <v>2100</v>
      </c>
      <c r="L20" s="771"/>
      <c r="M20" s="783">
        <v>20</v>
      </c>
      <c r="N20" s="784">
        <f>K20/M20</f>
        <v>105</v>
      </c>
      <c r="O20" s="775"/>
      <c r="P20" s="776">
        <f>+'Plan - Semanal'!$C$17+'Plan - Semanal'!$C$18+'Plan - Semanal'!$C$19+'Plan - Semanal'!$C$20</f>
        <v>0</v>
      </c>
      <c r="Q20" s="777">
        <f>K20-P20</f>
        <v>2100</v>
      </c>
      <c r="R20" s="843">
        <f t="shared" si="84"/>
        <v>105</v>
      </c>
      <c r="S20" s="844">
        <f>+'Plan - Semanal'!$D$17+'Plan - Semanal'!$D$18+'Plan - Semanal'!$D$19+'Plan - Semanal'!$D$20</f>
        <v>0</v>
      </c>
      <c r="T20" s="788">
        <f t="shared" si="104"/>
        <v>2100</v>
      </c>
      <c r="U20" s="843">
        <f t="shared" si="86"/>
        <v>105</v>
      </c>
      <c r="V20" s="782">
        <f>+'Plan - Semanal'!$E$17+'Plan - Semanal'!$E$18+'Plan - Semanal'!$E$19+'Plan - Semanal'!$E$20</f>
        <v>0</v>
      </c>
      <c r="W20" s="790">
        <f t="shared" si="105"/>
        <v>2100</v>
      </c>
      <c r="X20" s="843">
        <f t="shared" si="88"/>
        <v>105</v>
      </c>
      <c r="Y20" s="844">
        <f>+'Plan - Semanal'!$F$17+'Plan - Semanal'!$F$18+'Plan - Semanal'!$F$19+'Plan - Semanal'!$F$20</f>
        <v>0</v>
      </c>
      <c r="Z20" s="788">
        <f t="shared" si="106"/>
        <v>2100</v>
      </c>
      <c r="AA20" s="843">
        <f t="shared" si="90"/>
        <v>105</v>
      </c>
      <c r="AB20" s="776">
        <f>+'Plan - Semanal'!$G$17+'Plan - Semanal'!$G$18+'Plan - Semanal'!$G$19+'Plan - Semanal'!$G$20</f>
        <v>0</v>
      </c>
      <c r="AC20" s="777">
        <f>Z20-AB20</f>
        <v>2100</v>
      </c>
      <c r="AD20" s="843">
        <f t="shared" si="92"/>
        <v>105</v>
      </c>
      <c r="AE20" s="776">
        <f>+'Plan - Semanal'!$H$17+'Plan - Semanal'!$H$18+'Plan - Semanal'!$H$19+'Plan - Semanal'!$H$20</f>
        <v>0</v>
      </c>
      <c r="AF20" s="777">
        <f t="shared" si="107"/>
        <v>2100</v>
      </c>
      <c r="AG20" s="802">
        <f t="shared" si="94"/>
        <v>105</v>
      </c>
      <c r="AH20" s="776">
        <f>+'Plan - Semanal'!$I$17+'Plan - Semanal'!$I$18+'Plan - Semanal'!$I$19+'Plan - Semanal'!$I$20</f>
        <v>0</v>
      </c>
      <c r="AI20" s="777">
        <f>AF20-AH20</f>
        <v>2100</v>
      </c>
      <c r="AJ20" s="802">
        <f t="shared" si="96"/>
        <v>105</v>
      </c>
      <c r="AK20" s="783">
        <f>+'Plan - Semanal'!$M$17+'Plan - Semanal'!$M$18+'Plan - Semanal'!$M$19+'Plan - Semanal'!$M$20</f>
        <v>0</v>
      </c>
      <c r="AL20" s="792">
        <f>AI20-AK20</f>
        <v>2100</v>
      </c>
      <c r="AM20" s="843">
        <f t="shared" si="98"/>
        <v>105</v>
      </c>
      <c r="AN20" s="783">
        <f>+'Plan - Semanal'!$N$17+'Plan - Semanal'!$N$18+'Plan - Semanal'!$N$19+'Plan - Semanal'!$N$20</f>
        <v>0</v>
      </c>
      <c r="AO20" s="792">
        <f t="shared" si="108"/>
        <v>2100</v>
      </c>
      <c r="AP20" s="843">
        <f t="shared" si="100"/>
        <v>105</v>
      </c>
      <c r="AQ20" s="783">
        <f>+'Plan - Semanal'!$O$17+'Plan - Semanal'!$O$18+'Plan - Semanal'!$O$19+'Plan - Semanal'!$O$20</f>
        <v>0</v>
      </c>
      <c r="AR20" s="792">
        <f t="shared" si="109"/>
        <v>2100</v>
      </c>
      <c r="AS20" s="843">
        <f t="shared" si="110"/>
        <v>105</v>
      </c>
    </row>
    <row r="21" spans="1:45" x14ac:dyDescent="0.25">
      <c r="A21" s="779" t="s">
        <v>269</v>
      </c>
      <c r="B21" s="779" t="s">
        <v>270</v>
      </c>
      <c r="C21" s="780">
        <v>300000</v>
      </c>
      <c r="D21" s="780" t="s">
        <v>271</v>
      </c>
      <c r="E21" s="794">
        <v>1200</v>
      </c>
      <c r="F21" s="780" t="s">
        <v>254</v>
      </c>
      <c r="H21" s="781">
        <v>2175000</v>
      </c>
      <c r="I21" s="776" t="s">
        <v>271</v>
      </c>
      <c r="J21" s="771"/>
      <c r="K21" s="790">
        <f t="shared" si="103"/>
        <v>8700</v>
      </c>
      <c r="L21" s="771"/>
      <c r="M21" s="783">
        <v>430</v>
      </c>
      <c r="N21" s="784">
        <f>K21/M21</f>
        <v>20.232558139534884</v>
      </c>
      <c r="O21" s="775"/>
      <c r="P21" s="776">
        <f>+'Plan - Semanal'!$C$21+'Plan - Semanal'!$C$22+'Plan - Semanal'!$C$23+'Plan - Semanal'!$C$24</f>
        <v>1200</v>
      </c>
      <c r="Q21" s="777">
        <f>K21-P21</f>
        <v>7500</v>
      </c>
      <c r="R21" s="843">
        <f t="shared" si="84"/>
        <v>17.441860465116278</v>
      </c>
      <c r="S21" s="844">
        <f>+'Plan - Semanal'!$D$21+'Plan - Semanal'!$D$22+'Plan - Semanal'!$D$23+'Plan - Semanal'!$D$24</f>
        <v>1200</v>
      </c>
      <c r="T21" s="788">
        <f t="shared" si="104"/>
        <v>6300</v>
      </c>
      <c r="U21" s="843">
        <f t="shared" si="86"/>
        <v>14.651162790697674</v>
      </c>
      <c r="V21" s="782">
        <f>+'Plan - Semanal'!$E$21+'Plan - Semanal'!$E$22+'Plan - Semanal'!$E$23+'Plan - Semanal'!$E$24</f>
        <v>1200</v>
      </c>
      <c r="W21" s="790">
        <f t="shared" si="105"/>
        <v>5100</v>
      </c>
      <c r="X21" s="843">
        <f t="shared" si="88"/>
        <v>11.86046511627907</v>
      </c>
      <c r="Y21" s="844">
        <f>+'Plan - Semanal'!$F$21+'Plan - Semanal'!$F$22+'Plan - Semanal'!$F$23+'Plan - Semanal'!$F$24</f>
        <v>0</v>
      </c>
      <c r="Z21" s="788">
        <f t="shared" si="106"/>
        <v>5100</v>
      </c>
      <c r="AA21" s="843">
        <f t="shared" si="90"/>
        <v>11.86046511627907</v>
      </c>
      <c r="AB21" s="776">
        <f>+'Plan - Semanal'!$G$21+'Plan - Semanal'!$G$22+'Plan - Semanal'!$G$23+'Plan - Semanal'!$G$24</f>
        <v>0</v>
      </c>
      <c r="AC21" s="777">
        <f>Z21-AB21</f>
        <v>5100</v>
      </c>
      <c r="AD21" s="843">
        <f t="shared" si="92"/>
        <v>11.86046511627907</v>
      </c>
      <c r="AE21" s="776">
        <f>+'Plan - Semanal'!$H$21+'Plan - Semanal'!$H$22+'Plan - Semanal'!$H$23+'Plan - Semanal'!$H$24</f>
        <v>0</v>
      </c>
      <c r="AF21" s="777">
        <f t="shared" si="107"/>
        <v>5100</v>
      </c>
      <c r="AG21" s="802">
        <f t="shared" si="94"/>
        <v>11.86046511627907</v>
      </c>
      <c r="AH21" s="776">
        <f>+'Plan - Semanal'!$I$21+'Plan - Semanal'!$I$22+'Plan - Semanal'!$I$23+'Plan - Semanal'!$I$24</f>
        <v>0</v>
      </c>
      <c r="AI21" s="777">
        <f>AF21-AH21</f>
        <v>5100</v>
      </c>
      <c r="AJ21" s="802">
        <f t="shared" si="96"/>
        <v>11.86046511627907</v>
      </c>
      <c r="AK21" s="783">
        <f>+'Plan - Semanal'!$M$21+'Plan - Semanal'!$M$22+'Plan - Semanal'!$M$23+'Plan - Semanal'!$M$24</f>
        <v>0</v>
      </c>
      <c r="AL21" s="792">
        <f>AI21-AK21</f>
        <v>5100</v>
      </c>
      <c r="AM21" s="843">
        <f t="shared" si="98"/>
        <v>11.86046511627907</v>
      </c>
      <c r="AN21" s="783">
        <f>+'Plan - Semanal'!$N$21+'Plan - Semanal'!$N$22+'Plan - Semanal'!$N$23+'Plan - Semanal'!$N$24</f>
        <v>0</v>
      </c>
      <c r="AO21" s="792">
        <f t="shared" si="108"/>
        <v>5100</v>
      </c>
      <c r="AP21" s="843">
        <f t="shared" si="100"/>
        <v>11.86046511627907</v>
      </c>
      <c r="AQ21" s="783">
        <f>+'Plan - Semanal'!$O$21+'Plan - Semanal'!$O$22+'Plan - Semanal'!$O$23+'Plan - Semanal'!$O$24</f>
        <v>0</v>
      </c>
      <c r="AR21" s="792">
        <f t="shared" si="109"/>
        <v>5100</v>
      </c>
      <c r="AS21" s="843">
        <f t="shared" si="110"/>
        <v>11.86046511627907</v>
      </c>
    </row>
    <row r="22" spans="1:45" x14ac:dyDescent="0.25">
      <c r="A22" s="840" t="s">
        <v>346</v>
      </c>
      <c r="B22" s="840" t="s">
        <v>347</v>
      </c>
      <c r="C22" s="780">
        <v>300000</v>
      </c>
      <c r="D22" s="780" t="s">
        <v>271</v>
      </c>
      <c r="E22" s="794">
        <v>1200</v>
      </c>
      <c r="F22" s="780" t="s">
        <v>254</v>
      </c>
      <c r="H22" s="781">
        <v>300000</v>
      </c>
      <c r="I22" s="776" t="s">
        <v>271</v>
      </c>
      <c r="J22" s="771"/>
      <c r="K22" s="790">
        <f t="shared" si="103"/>
        <v>1200</v>
      </c>
      <c r="L22" s="771"/>
      <c r="M22" s="783">
        <v>0</v>
      </c>
      <c r="N22" s="784" t="e">
        <f t="shared" ref="N22" si="111">K22/M22</f>
        <v>#DIV/0!</v>
      </c>
      <c r="O22" s="775"/>
      <c r="P22" s="776">
        <f>+'Plan - Semanal'!C49+'Plan - Semanal'!C50+'Plan - Semanal'!C51+'Plan - Semanal'!C52</f>
        <v>0</v>
      </c>
      <c r="Q22" s="777">
        <f t="shared" ref="Q22" si="112">K22-P22</f>
        <v>1200</v>
      </c>
      <c r="R22" s="843" t="e">
        <f t="shared" si="84"/>
        <v>#DIV/0!</v>
      </c>
      <c r="S22" s="844">
        <f>+'Plan - Semanal'!D49+'Plan - Semanal'!D50+'Plan - Semanal'!D51+'Plan - Semanal'!D52</f>
        <v>0</v>
      </c>
      <c r="T22" s="788">
        <f t="shared" ref="T22" si="113">Q22-S22</f>
        <v>1200</v>
      </c>
      <c r="U22" s="843" t="e">
        <f t="shared" si="86"/>
        <v>#DIV/0!</v>
      </c>
      <c r="V22" s="782">
        <f>+'Plan - Semanal'!E49+'Plan - Semanal'!E50+'Plan - Semanal'!E51+'Plan - Semanal'!E52</f>
        <v>0</v>
      </c>
      <c r="W22" s="790">
        <f t="shared" ref="W22" si="114">T22-V22</f>
        <v>1200</v>
      </c>
      <c r="X22" s="843" t="e">
        <f t="shared" si="88"/>
        <v>#DIV/0!</v>
      </c>
      <c r="Y22" s="844">
        <f>+'Plan - Semanal'!F49+'Plan - Semanal'!F50+'Plan - Semanal'!F51+'Plan - Semanal'!F52</f>
        <v>0</v>
      </c>
      <c r="Z22" s="788">
        <f t="shared" ref="Z22" si="115">W22-Y22</f>
        <v>1200</v>
      </c>
      <c r="AA22" s="843" t="e">
        <f t="shared" si="90"/>
        <v>#DIV/0!</v>
      </c>
      <c r="AB22" s="776">
        <f>+'Plan - Semanal'!G49+'Plan - Semanal'!G50+'Plan - Semanal'!G51+'Plan - Semanal'!G52</f>
        <v>0</v>
      </c>
      <c r="AC22" s="777">
        <f t="shared" ref="AC22" si="116">Z22-AB22</f>
        <v>1200</v>
      </c>
      <c r="AD22" s="843" t="e">
        <f t="shared" si="92"/>
        <v>#DIV/0!</v>
      </c>
      <c r="AE22" s="776">
        <f>+'Plan - Semanal'!H49+'Plan - Semanal'!H50+'Plan - Semanal'!H51+'Plan - Semanal'!H52</f>
        <v>0</v>
      </c>
      <c r="AF22" s="777">
        <f t="shared" ref="AF22" si="117">AC22-AE22</f>
        <v>1200</v>
      </c>
      <c r="AG22" s="802" t="e">
        <f t="shared" si="94"/>
        <v>#DIV/0!</v>
      </c>
      <c r="AH22" s="776">
        <f>+'Plan - Semanal'!I49+'Plan - Semanal'!I50+'Plan - Semanal'!I51+'Plan - Semanal'!I52</f>
        <v>0</v>
      </c>
      <c r="AI22" s="777">
        <f t="shared" ref="AI22" si="118">AF22-AH22</f>
        <v>1200</v>
      </c>
      <c r="AJ22" s="802" t="e">
        <f t="shared" si="96"/>
        <v>#DIV/0!</v>
      </c>
      <c r="AK22" s="783">
        <f>+'Plan - Semanal'!M49+'Plan - Semanal'!M50+'Plan - Semanal'!M51+'Plan - Semanal'!M52</f>
        <v>0</v>
      </c>
      <c r="AL22" s="792">
        <f t="shared" ref="AL22" si="119">AI22-AK22</f>
        <v>1200</v>
      </c>
      <c r="AM22" s="843" t="e">
        <f t="shared" si="98"/>
        <v>#DIV/0!</v>
      </c>
      <c r="AN22" s="783">
        <f>+'Plan - Semanal'!N49+'Plan - Semanal'!N50+'Plan - Semanal'!N51+'Plan - Semanal'!N52</f>
        <v>0</v>
      </c>
      <c r="AO22" s="792">
        <f t="shared" ref="AO22" si="120">AL22-AN22</f>
        <v>1200</v>
      </c>
      <c r="AP22" s="843" t="e">
        <f t="shared" si="100"/>
        <v>#DIV/0!</v>
      </c>
      <c r="AQ22" s="783">
        <f>+'Plan - Semanal'!O49+'Plan - Semanal'!O50+'Plan - Semanal'!O51+'Plan - Semanal'!O52</f>
        <v>0</v>
      </c>
      <c r="AR22" s="792">
        <f t="shared" ref="AR22" si="121">AO22-AQ22</f>
        <v>1200</v>
      </c>
      <c r="AS22" s="843" t="e">
        <f t="shared" ref="AS22" si="122">AR22/M22</f>
        <v>#DIV/0!</v>
      </c>
    </row>
    <row r="23" spans="1:45" x14ac:dyDescent="0.25">
      <c r="A23" s="830" t="s">
        <v>324</v>
      </c>
      <c r="B23" s="830" t="s">
        <v>324</v>
      </c>
      <c r="C23" s="780">
        <v>300000</v>
      </c>
      <c r="D23" s="780" t="s">
        <v>271</v>
      </c>
      <c r="E23" s="794">
        <f t="shared" ref="E23:E28" si="123">(C23*1)/250</f>
        <v>1200</v>
      </c>
      <c r="F23" s="780" t="s">
        <v>254</v>
      </c>
      <c r="H23" s="781">
        <v>2100000</v>
      </c>
      <c r="I23" s="776" t="s">
        <v>271</v>
      </c>
      <c r="J23" s="771"/>
      <c r="K23" s="790">
        <f t="shared" si="103"/>
        <v>8400</v>
      </c>
      <c r="L23" s="771"/>
      <c r="M23" s="783">
        <v>465</v>
      </c>
      <c r="N23" s="784">
        <f t="shared" ref="N23:N28" si="124">K23/M23</f>
        <v>18.06451612903226</v>
      </c>
      <c r="O23" s="775"/>
      <c r="P23" s="776">
        <f>+'Plan - Semanal'!$C$29+'Plan - Semanal'!$C$30+'Plan - Semanal'!$C$31+'Plan - Semanal'!$C$32</f>
        <v>0</v>
      </c>
      <c r="Q23" s="777">
        <f t="shared" ref="Q23:Q28" si="125">K23-P23</f>
        <v>8400</v>
      </c>
      <c r="R23" s="843">
        <f t="shared" si="84"/>
        <v>18.06451612903226</v>
      </c>
      <c r="S23" s="844">
        <f>+'Plan - Semanal'!$D$29+'Plan - Semanal'!$D$30+'Plan - Semanal'!$D$31+'Plan - Semanal'!$D$32</f>
        <v>0</v>
      </c>
      <c r="T23" s="788">
        <f t="shared" si="104"/>
        <v>8400</v>
      </c>
      <c r="U23" s="843">
        <f t="shared" si="86"/>
        <v>18.06451612903226</v>
      </c>
      <c r="V23" s="782">
        <f>+'Plan - Semanal'!$E$29+'Plan - Semanal'!$E$30+'Plan - Semanal'!$E$31+'Plan - Semanal'!$E$32</f>
        <v>0</v>
      </c>
      <c r="W23" s="790">
        <f t="shared" si="105"/>
        <v>8400</v>
      </c>
      <c r="X23" s="843">
        <f t="shared" si="88"/>
        <v>18.06451612903226</v>
      </c>
      <c r="Y23" s="844">
        <f>+'Plan - Semanal'!$F$29+'Plan - Semanal'!$F$30+'Plan - Semanal'!$F$31+'Plan - Semanal'!$F$32</f>
        <v>1200</v>
      </c>
      <c r="Z23" s="788">
        <f t="shared" si="106"/>
        <v>7200</v>
      </c>
      <c r="AA23" s="843">
        <f t="shared" si="90"/>
        <v>15.483870967741936</v>
      </c>
      <c r="AB23" s="776">
        <f>+'Plan - Semanal'!$G$29+'Plan - Semanal'!$G$30+'Plan - Semanal'!$G$31+'Plan - Semanal'!$G$32</f>
        <v>1200</v>
      </c>
      <c r="AC23" s="777">
        <f t="shared" ref="AC23:AC28" si="126">Z23-AB23</f>
        <v>6000</v>
      </c>
      <c r="AD23" s="843">
        <f t="shared" si="92"/>
        <v>12.903225806451612</v>
      </c>
      <c r="AE23" s="776">
        <f>+'Plan - Semanal'!$H$29+'Plan - Semanal'!$H$30+'Plan - Semanal'!$H$31+'Plan - Semanal'!$H$32</f>
        <v>0</v>
      </c>
      <c r="AF23" s="777">
        <f t="shared" si="107"/>
        <v>6000</v>
      </c>
      <c r="AG23" s="802">
        <f t="shared" si="94"/>
        <v>12.903225806451612</v>
      </c>
      <c r="AH23" s="776">
        <f>+'Plan - Semanal'!$I$29+'Plan - Semanal'!$I$30+'Plan - Semanal'!$I$31+'Plan - Semanal'!$I$32</f>
        <v>0</v>
      </c>
      <c r="AI23" s="777">
        <f t="shared" ref="AI23:AI28" si="127">AF23-AH23</f>
        <v>6000</v>
      </c>
      <c r="AJ23" s="802">
        <f t="shared" si="96"/>
        <v>12.903225806451612</v>
      </c>
      <c r="AK23" s="783">
        <f>+'Plan - Semanal'!$M$29+'Plan - Semanal'!$M$30+'Plan - Semanal'!$M$31+'Plan - Semanal'!$M$32</f>
        <v>0</v>
      </c>
      <c r="AL23" s="792">
        <f t="shared" ref="AL23:AL28" si="128">AI23-AK23</f>
        <v>6000</v>
      </c>
      <c r="AM23" s="843">
        <f t="shared" si="98"/>
        <v>12.903225806451612</v>
      </c>
      <c r="AN23" s="783">
        <f>+'Plan - Semanal'!$N$29+'Plan - Semanal'!$N$30+'Plan - Semanal'!$N$31+'Plan - Semanal'!$N$32</f>
        <v>0</v>
      </c>
      <c r="AO23" s="792">
        <f t="shared" si="108"/>
        <v>6000</v>
      </c>
      <c r="AP23" s="843">
        <f t="shared" si="100"/>
        <v>12.903225806451612</v>
      </c>
      <c r="AQ23" s="783">
        <f>+'Plan - Semanal'!$O$29+'Plan - Semanal'!$O$30+'Plan - Semanal'!$O$31+'Plan - Semanal'!$O$32</f>
        <v>0</v>
      </c>
      <c r="AR23" s="792">
        <f t="shared" si="109"/>
        <v>6000</v>
      </c>
      <c r="AS23" s="843">
        <f t="shared" si="110"/>
        <v>12.903225806451612</v>
      </c>
    </row>
    <row r="24" spans="1:45" x14ac:dyDescent="0.25">
      <c r="A24" s="830" t="s">
        <v>325</v>
      </c>
      <c r="B24" s="830" t="s">
        <v>325</v>
      </c>
      <c r="C24" s="780">
        <v>300000</v>
      </c>
      <c r="D24" s="780" t="s">
        <v>271</v>
      </c>
      <c r="E24" s="794">
        <f t="shared" si="123"/>
        <v>1200</v>
      </c>
      <c r="F24" s="780" t="s">
        <v>254</v>
      </c>
      <c r="H24" s="781">
        <v>300000</v>
      </c>
      <c r="I24" s="776" t="s">
        <v>271</v>
      </c>
      <c r="J24" s="771"/>
      <c r="K24" s="790">
        <f t="shared" si="103"/>
        <v>1200</v>
      </c>
      <c r="L24" s="771"/>
      <c r="M24" s="783">
        <v>0</v>
      </c>
      <c r="N24" s="784" t="e">
        <f t="shared" si="124"/>
        <v>#DIV/0!</v>
      </c>
      <c r="O24" s="775"/>
      <c r="P24" s="776">
        <f>+'Plan - Semanal'!$C$33+'Plan - Semanal'!$C$34+'Plan - Semanal'!$C$35+'Plan - Semanal'!$C$36</f>
        <v>0</v>
      </c>
      <c r="Q24" s="777">
        <f t="shared" si="125"/>
        <v>1200</v>
      </c>
      <c r="R24" s="843" t="e">
        <f t="shared" si="84"/>
        <v>#DIV/0!</v>
      </c>
      <c r="S24" s="844">
        <f>+'Plan - Semanal'!$D$33+'Plan - Semanal'!$D$34+'Plan - Semanal'!$D$35+'Plan - Semanal'!$D$36</f>
        <v>0</v>
      </c>
      <c r="T24" s="788">
        <f t="shared" si="104"/>
        <v>1200</v>
      </c>
      <c r="U24" s="843" t="e">
        <f t="shared" si="86"/>
        <v>#DIV/0!</v>
      </c>
      <c r="V24" s="782">
        <f>+'Plan - Semanal'!$E$33+'Plan - Semanal'!$E$34+'Plan - Semanal'!$E$35+'Plan - Semanal'!$E$36</f>
        <v>0</v>
      </c>
      <c r="W24" s="790">
        <f t="shared" si="105"/>
        <v>1200</v>
      </c>
      <c r="X24" s="843" t="e">
        <f t="shared" si="88"/>
        <v>#DIV/0!</v>
      </c>
      <c r="Y24" s="844">
        <f>+'Plan - Semanal'!$F$33+'Plan - Semanal'!$F$34+'Plan - Semanal'!$F$35+'Plan - Semanal'!$F$36</f>
        <v>0</v>
      </c>
      <c r="Z24" s="788">
        <f t="shared" si="106"/>
        <v>1200</v>
      </c>
      <c r="AA24" s="843" t="e">
        <f t="shared" si="90"/>
        <v>#DIV/0!</v>
      </c>
      <c r="AB24" s="776">
        <f>+'Plan - Semanal'!$G$33+'Plan - Semanal'!$G$34+'Plan - Semanal'!$G$35+'Plan - Semanal'!$G$36</f>
        <v>0</v>
      </c>
      <c r="AC24" s="777">
        <f t="shared" si="126"/>
        <v>1200</v>
      </c>
      <c r="AD24" s="843" t="e">
        <f t="shared" si="92"/>
        <v>#DIV/0!</v>
      </c>
      <c r="AE24" s="776">
        <f>+'Plan - Semanal'!$H$33+'Plan - Semanal'!$H$34+'Plan - Semanal'!$H$35+'Plan - Semanal'!$H$36</f>
        <v>0</v>
      </c>
      <c r="AF24" s="777">
        <f t="shared" si="107"/>
        <v>1200</v>
      </c>
      <c r="AG24" s="802" t="e">
        <f t="shared" si="94"/>
        <v>#DIV/0!</v>
      </c>
      <c r="AH24" s="776">
        <f>+'Plan - Semanal'!$I$33+'Plan - Semanal'!$I$34+'Plan - Semanal'!$I$35+'Plan - Semanal'!$I$36</f>
        <v>0</v>
      </c>
      <c r="AI24" s="777">
        <f t="shared" si="127"/>
        <v>1200</v>
      </c>
      <c r="AJ24" s="802" t="e">
        <f t="shared" si="96"/>
        <v>#DIV/0!</v>
      </c>
      <c r="AK24" s="783">
        <f>+'Plan - Semanal'!$M$33+'Plan - Semanal'!$M$34+'Plan - Semanal'!$M$35+'Plan - Semanal'!$M$36</f>
        <v>0</v>
      </c>
      <c r="AL24" s="792">
        <f t="shared" si="128"/>
        <v>1200</v>
      </c>
      <c r="AM24" s="843" t="e">
        <f t="shared" si="98"/>
        <v>#DIV/0!</v>
      </c>
      <c r="AN24" s="783">
        <f>+'Plan - Semanal'!$N$33+'Plan - Semanal'!$N$34+'Plan - Semanal'!$N$35+'Plan - Semanal'!$N$36</f>
        <v>0</v>
      </c>
      <c r="AO24" s="792">
        <f t="shared" si="108"/>
        <v>1200</v>
      </c>
      <c r="AP24" s="843" t="e">
        <f t="shared" si="100"/>
        <v>#DIV/0!</v>
      </c>
      <c r="AQ24" s="783">
        <f>+'Plan - Semanal'!$O$33+'Plan - Semanal'!$O$34+'Plan - Semanal'!$O$35+'Plan - Semanal'!$O$36</f>
        <v>0</v>
      </c>
      <c r="AR24" s="792">
        <f t="shared" si="109"/>
        <v>1200</v>
      </c>
      <c r="AS24" s="843" t="e">
        <f t="shared" si="110"/>
        <v>#DIV/0!</v>
      </c>
    </row>
    <row r="25" spans="1:45" x14ac:dyDescent="0.25">
      <c r="A25" s="779" t="s">
        <v>272</v>
      </c>
      <c r="B25" s="779" t="s">
        <v>273</v>
      </c>
      <c r="C25" s="780">
        <v>120000</v>
      </c>
      <c r="D25" s="780" t="s">
        <v>271</v>
      </c>
      <c r="E25" s="794">
        <f t="shared" si="123"/>
        <v>480</v>
      </c>
      <c r="F25" s="780" t="s">
        <v>254</v>
      </c>
      <c r="H25" s="781">
        <v>1924000</v>
      </c>
      <c r="I25" s="776" t="s">
        <v>271</v>
      </c>
      <c r="J25" s="771"/>
      <c r="K25" s="790">
        <f t="shared" si="103"/>
        <v>7696</v>
      </c>
      <c r="L25" s="771"/>
      <c r="M25" s="783">
        <v>240</v>
      </c>
      <c r="N25" s="784">
        <f t="shared" si="124"/>
        <v>32.06666666666667</v>
      </c>
      <c r="O25" s="775"/>
      <c r="P25" s="776">
        <f>'Plan - Semanal'!$C$41+'Plan - Semanal'!$C$42+'Plan - Semanal'!$C$43+'Plan - Semanal'!$C$44</f>
        <v>700</v>
      </c>
      <c r="Q25" s="777">
        <f t="shared" si="125"/>
        <v>6996</v>
      </c>
      <c r="R25" s="843">
        <f t="shared" si="84"/>
        <v>29.15</v>
      </c>
      <c r="S25" s="844">
        <f>+'Plan - Semanal'!$D$41+'Plan - Semanal'!$D$42+'Plan - Semanal'!$D$43+'Plan - Semanal'!$D$44</f>
        <v>700</v>
      </c>
      <c r="T25" s="788">
        <f t="shared" si="104"/>
        <v>6296</v>
      </c>
      <c r="U25" s="843">
        <f t="shared" si="86"/>
        <v>26.233333333333334</v>
      </c>
      <c r="V25" s="782">
        <f>+'Plan - Semanal'!$E$41+'Plan - Semanal'!$E$42+'Plan - Semanal'!$E$43+'Plan - Semanal'!$E$44</f>
        <v>700</v>
      </c>
      <c r="W25" s="790">
        <f t="shared" si="105"/>
        <v>5596</v>
      </c>
      <c r="X25" s="843">
        <f t="shared" si="88"/>
        <v>23.316666666666666</v>
      </c>
      <c r="Y25" s="844">
        <f>+'Plan - Semanal'!$F$41+'Plan - Semanal'!$F$42+'Plan - Semanal'!$F$43+'Plan - Semanal'!$F$44</f>
        <v>500</v>
      </c>
      <c r="Z25" s="788">
        <f t="shared" si="106"/>
        <v>5096</v>
      </c>
      <c r="AA25" s="843">
        <f t="shared" si="90"/>
        <v>21.233333333333334</v>
      </c>
      <c r="AB25" s="776">
        <f>+'Plan - Semanal'!$G$41+'Plan - Semanal'!$G$42+'Plan - Semanal'!$G$43+'Plan - Semanal'!$G$44</f>
        <v>0</v>
      </c>
      <c r="AC25" s="777">
        <f t="shared" si="126"/>
        <v>5096</v>
      </c>
      <c r="AD25" s="843">
        <f t="shared" si="92"/>
        <v>21.233333333333334</v>
      </c>
      <c r="AE25" s="776">
        <f>+'Plan - Semanal'!$H$41+'Plan - Semanal'!$H$42+'Plan - Semanal'!$H$43+'Plan - Semanal'!$H$44</f>
        <v>0</v>
      </c>
      <c r="AF25" s="777">
        <f t="shared" si="107"/>
        <v>5096</v>
      </c>
      <c r="AG25" s="802">
        <f t="shared" si="94"/>
        <v>21.233333333333334</v>
      </c>
      <c r="AH25" s="776">
        <f>+'Plan - Semanal'!$I$41+'Plan - Semanal'!$I$42+'Plan - Semanal'!$I$43+'Plan - Semanal'!$I$44</f>
        <v>0</v>
      </c>
      <c r="AI25" s="777">
        <f t="shared" si="127"/>
        <v>5096</v>
      </c>
      <c r="AJ25" s="802">
        <f t="shared" si="96"/>
        <v>21.233333333333334</v>
      </c>
      <c r="AK25" s="783">
        <f>+'Plan - Semanal'!$M$41+'Plan - Semanal'!$M$42+'Plan - Semanal'!$M$43+'Plan - Semanal'!$M$44</f>
        <v>0</v>
      </c>
      <c r="AL25" s="792">
        <f t="shared" si="128"/>
        <v>5096</v>
      </c>
      <c r="AM25" s="843">
        <f t="shared" si="98"/>
        <v>21.233333333333334</v>
      </c>
      <c r="AN25" s="783">
        <f>+'Plan - Semanal'!$N$41+'Plan - Semanal'!$N$42+'Plan - Semanal'!$N$43+'Plan - Semanal'!$N$44</f>
        <v>0</v>
      </c>
      <c r="AO25" s="792">
        <f t="shared" si="108"/>
        <v>5096</v>
      </c>
      <c r="AP25" s="843">
        <f t="shared" si="100"/>
        <v>21.233333333333334</v>
      </c>
      <c r="AQ25" s="783">
        <f>+'Plan - Semanal'!$O$41+'Plan - Semanal'!$O$42+'Plan - Semanal'!$O$43+'Plan - Semanal'!$O$44</f>
        <v>0</v>
      </c>
      <c r="AR25" s="792">
        <f t="shared" si="109"/>
        <v>5096</v>
      </c>
      <c r="AS25" s="843">
        <f t="shared" si="110"/>
        <v>21.233333333333334</v>
      </c>
    </row>
    <row r="26" spans="1:45" x14ac:dyDescent="0.25">
      <c r="A26" s="779" t="s">
        <v>276</v>
      </c>
      <c r="B26" s="779" t="s">
        <v>277</v>
      </c>
      <c r="C26" s="780">
        <v>120000</v>
      </c>
      <c r="D26" s="780" t="s">
        <v>271</v>
      </c>
      <c r="E26" s="794">
        <f t="shared" si="123"/>
        <v>480</v>
      </c>
      <c r="F26" s="780" t="s">
        <v>254</v>
      </c>
      <c r="H26" s="781">
        <v>240000</v>
      </c>
      <c r="I26" s="776" t="s">
        <v>271</v>
      </c>
      <c r="J26" s="771"/>
      <c r="K26" s="790">
        <f t="shared" si="103"/>
        <v>960</v>
      </c>
      <c r="L26" s="771"/>
      <c r="M26" s="783">
        <v>25</v>
      </c>
      <c r="N26" s="784">
        <f t="shared" si="124"/>
        <v>38.4</v>
      </c>
      <c r="O26" s="775"/>
      <c r="P26" s="776">
        <f>+'Plan - Semanal'!$C$45+'Plan - Semanal'!$C$46+'Plan - Semanal'!$C$47+'Plan - Semanal'!$C$48</f>
        <v>0</v>
      </c>
      <c r="Q26" s="777">
        <f t="shared" si="125"/>
        <v>960</v>
      </c>
      <c r="R26" s="843">
        <f t="shared" si="84"/>
        <v>38.4</v>
      </c>
      <c r="S26" s="844">
        <f>+'Plan - Semanal'!$D$45+'Plan - Semanal'!$D$46+'Plan - Semanal'!$D$47+'Plan - Semanal'!$D$48</f>
        <v>0</v>
      </c>
      <c r="T26" s="788">
        <f t="shared" si="104"/>
        <v>960</v>
      </c>
      <c r="U26" s="843">
        <f t="shared" si="86"/>
        <v>38.4</v>
      </c>
      <c r="V26" s="782">
        <f>+'Plan - Semanal'!$E$45+'Plan - Semanal'!$E$46+'Plan - Semanal'!$E$47+'Plan - Semanal'!$E$48</f>
        <v>0</v>
      </c>
      <c r="W26" s="790">
        <f t="shared" si="105"/>
        <v>960</v>
      </c>
      <c r="X26" s="843">
        <f t="shared" si="88"/>
        <v>38.4</v>
      </c>
      <c r="Y26" s="844">
        <f>+'Plan - Semanal'!$F$45+'Plan - Semanal'!$F$46+'Plan - Semanal'!$F$47+'Plan - Semanal'!$F$48</f>
        <v>0</v>
      </c>
      <c r="Z26" s="788">
        <f t="shared" si="106"/>
        <v>960</v>
      </c>
      <c r="AA26" s="843">
        <f t="shared" si="90"/>
        <v>38.4</v>
      </c>
      <c r="AB26" s="776">
        <f>+'Plan - Semanal'!$G$45+'Plan - Semanal'!$G$46+'Plan - Semanal'!$G$47+'Plan - Semanal'!$G$48</f>
        <v>0</v>
      </c>
      <c r="AC26" s="777">
        <f t="shared" si="126"/>
        <v>960</v>
      </c>
      <c r="AD26" s="843">
        <f t="shared" si="92"/>
        <v>38.4</v>
      </c>
      <c r="AE26" s="776">
        <f>+'Plan - Semanal'!$H$45+'Plan - Semanal'!$H$46+'Plan - Semanal'!$H$47+'Plan - Semanal'!$H$48</f>
        <v>0</v>
      </c>
      <c r="AF26" s="777">
        <f t="shared" si="107"/>
        <v>960</v>
      </c>
      <c r="AG26" s="802">
        <f t="shared" si="94"/>
        <v>38.4</v>
      </c>
      <c r="AH26" s="776">
        <f>+'Plan - Semanal'!$I$45+'Plan - Semanal'!$I$46+'Plan - Semanal'!$I$47+'Plan - Semanal'!$I$48</f>
        <v>0</v>
      </c>
      <c r="AI26" s="777">
        <f t="shared" si="127"/>
        <v>960</v>
      </c>
      <c r="AJ26" s="802">
        <f t="shared" si="96"/>
        <v>38.4</v>
      </c>
      <c r="AK26" s="783">
        <f>+'Plan - Semanal'!$M$45+'Plan - Semanal'!$M$46+'Plan - Semanal'!$M$47+'Plan - Semanal'!$M$48</f>
        <v>0</v>
      </c>
      <c r="AL26" s="792">
        <f t="shared" si="128"/>
        <v>960</v>
      </c>
      <c r="AM26" s="843">
        <f t="shared" si="98"/>
        <v>38.4</v>
      </c>
      <c r="AN26" s="783">
        <f>+'Plan - Semanal'!$N$45+'Plan - Semanal'!$N$46+'Plan - Semanal'!$N$47+'Plan - Semanal'!$N$48</f>
        <v>0</v>
      </c>
      <c r="AO26" s="792">
        <f t="shared" si="108"/>
        <v>960</v>
      </c>
      <c r="AP26" s="843">
        <f t="shared" si="100"/>
        <v>38.4</v>
      </c>
      <c r="AQ26" s="783">
        <f>+'Plan - Semanal'!$O$45+'Plan - Semanal'!$O$46+'Plan - Semanal'!$O$47+'Plan - Semanal'!$O$48</f>
        <v>0</v>
      </c>
      <c r="AR26" s="792">
        <f t="shared" si="109"/>
        <v>960</v>
      </c>
      <c r="AS26" s="843">
        <f t="shared" si="110"/>
        <v>38.4</v>
      </c>
    </row>
    <row r="27" spans="1:45" x14ac:dyDescent="0.25">
      <c r="A27" s="779" t="s">
        <v>274</v>
      </c>
      <c r="B27" s="779" t="s">
        <v>275</v>
      </c>
      <c r="C27" s="780">
        <v>120000</v>
      </c>
      <c r="D27" s="780" t="s">
        <v>271</v>
      </c>
      <c r="E27" s="794">
        <f t="shared" si="123"/>
        <v>480</v>
      </c>
      <c r="F27" s="780" t="s">
        <v>254</v>
      </c>
      <c r="H27" s="781">
        <v>720000</v>
      </c>
      <c r="I27" s="776" t="s">
        <v>271</v>
      </c>
      <c r="J27" s="771"/>
      <c r="K27" s="790">
        <f t="shared" si="103"/>
        <v>2880</v>
      </c>
      <c r="L27" s="771"/>
      <c r="M27" s="783">
        <v>35</v>
      </c>
      <c r="N27" s="784">
        <f t="shared" si="124"/>
        <v>82.285714285714292</v>
      </c>
      <c r="O27" s="775"/>
      <c r="P27" s="776">
        <f>+'Plan - Semanal'!$C$49+'Plan - Semanal'!$C$50+'Plan - Semanal'!$C$51+'Plan - Semanal'!$C$52</f>
        <v>0</v>
      </c>
      <c r="Q27" s="777">
        <f t="shared" si="125"/>
        <v>2880</v>
      </c>
      <c r="R27" s="843">
        <f t="shared" si="84"/>
        <v>82.285714285714292</v>
      </c>
      <c r="S27" s="844">
        <f>+'Plan - Semanal'!$D$49+'Plan - Semanal'!$D$50+'Plan - Semanal'!$D$51+'Plan - Semanal'!$D$52</f>
        <v>0</v>
      </c>
      <c r="T27" s="788">
        <f t="shared" si="104"/>
        <v>2880</v>
      </c>
      <c r="U27" s="843">
        <f t="shared" si="86"/>
        <v>82.285714285714292</v>
      </c>
      <c r="V27" s="782">
        <f>+'Plan - Semanal'!$E$49+'Plan - Semanal'!$E$50+'Plan - Semanal'!$E$51+'Plan - Semanal'!$E$52</f>
        <v>0</v>
      </c>
      <c r="W27" s="790">
        <f t="shared" si="105"/>
        <v>2880</v>
      </c>
      <c r="X27" s="843">
        <f t="shared" si="88"/>
        <v>82.285714285714292</v>
      </c>
      <c r="Y27" s="844">
        <f>+'Plan - Semanal'!$F$49+'Plan - Semanal'!$F$50+'Plan - Semanal'!$F$51+'Plan - Semanal'!$F$52</f>
        <v>0</v>
      </c>
      <c r="Z27" s="788">
        <f t="shared" si="106"/>
        <v>2880</v>
      </c>
      <c r="AA27" s="843">
        <f t="shared" si="90"/>
        <v>82.285714285714292</v>
      </c>
      <c r="AB27" s="776">
        <f>+'Plan - Semanal'!$G$49+'Plan - Semanal'!$G$50+'Plan - Semanal'!$G$51+'Plan - Semanal'!$G$52</f>
        <v>0</v>
      </c>
      <c r="AC27" s="777">
        <f t="shared" si="126"/>
        <v>2880</v>
      </c>
      <c r="AD27" s="843">
        <f t="shared" si="92"/>
        <v>82.285714285714292</v>
      </c>
      <c r="AE27" s="776">
        <f>+'Plan - Semanal'!$H$49+'Plan - Semanal'!$H$50+'Plan - Semanal'!$H$51+'Plan - Semanal'!$H$52</f>
        <v>0</v>
      </c>
      <c r="AF27" s="777">
        <f t="shared" si="107"/>
        <v>2880</v>
      </c>
      <c r="AG27" s="802">
        <f t="shared" si="94"/>
        <v>82.285714285714292</v>
      </c>
      <c r="AH27" s="776">
        <f>+'Plan - Semanal'!$I$49+'Plan - Semanal'!$I$50+'Plan - Semanal'!$I$51+'Plan - Semanal'!$I$52</f>
        <v>0</v>
      </c>
      <c r="AI27" s="777">
        <f t="shared" si="127"/>
        <v>2880</v>
      </c>
      <c r="AJ27" s="802">
        <f t="shared" si="96"/>
        <v>82.285714285714292</v>
      </c>
      <c r="AK27" s="783">
        <f>+'Plan - Semanal'!$M$49+'Plan - Semanal'!$M$50+'Plan - Semanal'!$M$51+'Plan - Semanal'!$M$52</f>
        <v>0</v>
      </c>
      <c r="AL27" s="792">
        <f t="shared" si="128"/>
        <v>2880</v>
      </c>
      <c r="AM27" s="843">
        <f t="shared" si="98"/>
        <v>82.285714285714292</v>
      </c>
      <c r="AN27" s="783">
        <f>+'Plan - Semanal'!$N$49+'Plan - Semanal'!$N$50+'Plan - Semanal'!$N$51+'Plan - Semanal'!$N$52</f>
        <v>0</v>
      </c>
      <c r="AO27" s="792">
        <f t="shared" si="108"/>
        <v>2880</v>
      </c>
      <c r="AP27" s="843">
        <f t="shared" si="100"/>
        <v>82.285714285714292</v>
      </c>
      <c r="AQ27" s="783">
        <f>+'Plan - Semanal'!$O$49+'Plan - Semanal'!$O$50+'Plan - Semanal'!$O$51+'Plan - Semanal'!$O$52</f>
        <v>0</v>
      </c>
      <c r="AR27" s="792">
        <f t="shared" si="109"/>
        <v>2880</v>
      </c>
      <c r="AS27" s="843">
        <f t="shared" si="110"/>
        <v>82.285714285714292</v>
      </c>
    </row>
    <row r="28" spans="1:45" x14ac:dyDescent="0.25">
      <c r="A28" s="1053" t="s">
        <v>450</v>
      </c>
      <c r="B28" s="1053" t="s">
        <v>451</v>
      </c>
      <c r="C28" s="780">
        <v>144000</v>
      </c>
      <c r="D28" s="780" t="s">
        <v>271</v>
      </c>
      <c r="E28" s="794">
        <f t="shared" si="123"/>
        <v>576</v>
      </c>
      <c r="F28" s="780" t="s">
        <v>254</v>
      </c>
      <c r="H28" s="781">
        <v>144000</v>
      </c>
      <c r="I28" s="776" t="s">
        <v>271</v>
      </c>
      <c r="J28" s="771"/>
      <c r="K28" s="790">
        <f t="shared" si="103"/>
        <v>576</v>
      </c>
      <c r="L28" s="771"/>
      <c r="M28" s="783">
        <v>200</v>
      </c>
      <c r="N28" s="784">
        <f t="shared" si="124"/>
        <v>2.88</v>
      </c>
      <c r="O28" s="775"/>
      <c r="P28" s="776">
        <f>+'Plan - Semanal'!$C$53+'Plan - Semanal'!$C$54+'Plan - Semanal'!$C$55+'Plan - Semanal'!$C$56</f>
        <v>0</v>
      </c>
      <c r="Q28" s="777">
        <f t="shared" si="125"/>
        <v>576</v>
      </c>
      <c r="R28" s="843">
        <f t="shared" si="84"/>
        <v>2.88</v>
      </c>
      <c r="S28" s="844">
        <f>+'Plan - Semanal'!$D$53+'Plan - Semanal'!$D$54+'Plan - Semanal'!$D$55+'Plan - Semanal'!$D$56</f>
        <v>0</v>
      </c>
      <c r="T28" s="788">
        <f t="shared" si="104"/>
        <v>576</v>
      </c>
      <c r="U28" s="843">
        <f t="shared" si="86"/>
        <v>2.88</v>
      </c>
      <c r="V28" s="782">
        <f>+'Plan - Semanal'!$E$53+'Plan - Semanal'!$E$54+'Plan - Semanal'!$E$55+'Plan - Semanal'!$E$56</f>
        <v>0</v>
      </c>
      <c r="W28" s="790">
        <f t="shared" si="105"/>
        <v>576</v>
      </c>
      <c r="X28" s="843">
        <f t="shared" si="88"/>
        <v>2.88</v>
      </c>
      <c r="Y28" s="844">
        <f>+'Plan - Semanal'!$F$53+'Plan - Semanal'!$F$54+'Plan - Semanal'!$F$55+'Plan - Semanal'!$F$56</f>
        <v>0</v>
      </c>
      <c r="Z28" s="788">
        <f t="shared" si="106"/>
        <v>576</v>
      </c>
      <c r="AA28" s="843">
        <f t="shared" si="90"/>
        <v>2.88</v>
      </c>
      <c r="AB28" s="776">
        <f>+'Plan - Semanal'!$G$53+'Plan - Semanal'!$G$54+'Plan - Semanal'!$G$55+'Plan - Semanal'!$G$56</f>
        <v>0</v>
      </c>
      <c r="AC28" s="777">
        <f t="shared" si="126"/>
        <v>576</v>
      </c>
      <c r="AD28" s="843">
        <f t="shared" si="92"/>
        <v>2.88</v>
      </c>
      <c r="AE28" s="776">
        <f>+'Plan - Semanal'!$H$53+'Plan - Semanal'!$H$54+'Plan - Semanal'!$H$55+'Plan - Semanal'!$H$56</f>
        <v>700</v>
      </c>
      <c r="AF28" s="777">
        <f t="shared" si="107"/>
        <v>-124</v>
      </c>
      <c r="AG28" s="802">
        <f t="shared" si="94"/>
        <v>-0.62</v>
      </c>
      <c r="AH28" s="776">
        <f>+'Plan - Semanal'!$I$53+'Plan - Semanal'!$I$54+'Plan - Semanal'!$I$55+'Plan - Semanal'!$I$56</f>
        <v>0</v>
      </c>
      <c r="AI28" s="777">
        <f t="shared" si="127"/>
        <v>-124</v>
      </c>
      <c r="AJ28" s="802">
        <f t="shared" si="96"/>
        <v>-0.62</v>
      </c>
      <c r="AK28" s="783">
        <f>+'Plan - Semanal'!$M$53+'Plan - Semanal'!$M$54+'Plan - Semanal'!$M$55+'Plan - Semanal'!$M$56</f>
        <v>0</v>
      </c>
      <c r="AL28" s="792">
        <f t="shared" si="128"/>
        <v>-124</v>
      </c>
      <c r="AM28" s="843">
        <f t="shared" si="98"/>
        <v>-0.62</v>
      </c>
      <c r="AN28" s="783">
        <f>+'Plan - Semanal'!$N$53+'Plan - Semanal'!$N$54+'Plan - Semanal'!$N$55+'Plan - Semanal'!$N$56</f>
        <v>0</v>
      </c>
      <c r="AO28" s="792">
        <f t="shared" si="108"/>
        <v>-124</v>
      </c>
      <c r="AP28" s="843">
        <f t="shared" si="100"/>
        <v>-0.62</v>
      </c>
      <c r="AQ28" s="783">
        <f>+'Plan - Semanal'!$O$53+'Plan - Semanal'!$O$54+'Plan - Semanal'!$O$55+'Plan - Semanal'!$O$56</f>
        <v>0</v>
      </c>
      <c r="AR28" s="792">
        <f t="shared" si="109"/>
        <v>-124</v>
      </c>
      <c r="AS28" s="843">
        <f t="shared" si="110"/>
        <v>-0.62</v>
      </c>
    </row>
    <row r="29" spans="1:45" x14ac:dyDescent="0.25">
      <c r="A29" s="1046" t="s">
        <v>438</v>
      </c>
      <c r="B29" s="1046" t="s">
        <v>439</v>
      </c>
      <c r="C29" s="780">
        <v>120000</v>
      </c>
      <c r="D29" s="780" t="s">
        <v>271</v>
      </c>
      <c r="E29" s="794">
        <f t="shared" ref="E29:E30" si="129">(C29*1)/250</f>
        <v>480</v>
      </c>
      <c r="F29" s="780" t="s">
        <v>254</v>
      </c>
      <c r="H29" s="781">
        <v>1128000</v>
      </c>
      <c r="I29" s="776" t="s">
        <v>271</v>
      </c>
      <c r="J29" s="771"/>
      <c r="K29" s="790">
        <f t="shared" ref="K29:K30" si="130">(H29*E29)/C29</f>
        <v>4512</v>
      </c>
      <c r="L29" s="771"/>
      <c r="M29" s="783">
        <v>125</v>
      </c>
      <c r="N29" s="784">
        <f t="shared" ref="N29:N30" si="131">K29/M29</f>
        <v>36.095999999999997</v>
      </c>
      <c r="O29" s="775"/>
      <c r="P29" s="776">
        <f>+'Plan - Semanal'!$C$57+'Plan - Semanal'!$C$58+'Plan - Semanal'!$C$59+'Plan - Semanal'!$C$60</f>
        <v>0</v>
      </c>
      <c r="Q29" s="777">
        <f t="shared" ref="Q29:Q30" si="132">K29-P29</f>
        <v>4512</v>
      </c>
      <c r="R29" s="843">
        <f t="shared" si="84"/>
        <v>36.095999999999997</v>
      </c>
      <c r="S29" s="844">
        <f>+'Plan - Semanal'!$D$57+'Plan - Semanal'!$D$58+'Plan - Semanal'!$D$59+'Plan - Semanal'!$D$60</f>
        <v>0</v>
      </c>
      <c r="T29" s="788">
        <f t="shared" ref="T29:T30" si="133">Q29-S29</f>
        <v>4512</v>
      </c>
      <c r="U29" s="843">
        <f t="shared" si="86"/>
        <v>36.095999999999997</v>
      </c>
      <c r="V29" s="782">
        <f>+'Plan - Semanal'!$D$57+'Plan - Semanal'!$D$58+'Plan - Semanal'!$D$59+'Plan - Semanal'!$D$60</f>
        <v>0</v>
      </c>
      <c r="W29" s="790">
        <f t="shared" ref="W29:W30" si="134">T29-V29</f>
        <v>4512</v>
      </c>
      <c r="X29" s="843">
        <f t="shared" si="88"/>
        <v>36.095999999999997</v>
      </c>
      <c r="Y29" s="844">
        <f>+'Plan - Semanal'!$F$57+'Plan - Semanal'!$F$58+'Plan - Semanal'!$F$59+'Plan - Semanal'!$F$60</f>
        <v>0</v>
      </c>
      <c r="Z29" s="788">
        <f t="shared" ref="Z29:Z30" si="135">W29-Y29</f>
        <v>4512</v>
      </c>
      <c r="AA29" s="843">
        <f t="shared" si="90"/>
        <v>36.095999999999997</v>
      </c>
      <c r="AB29" s="776">
        <f>+'Plan - Semanal'!$G$57+'Plan - Semanal'!$G$58+'Plan - Semanal'!$G$59+'Plan - Semanal'!$G$60</f>
        <v>0</v>
      </c>
      <c r="AC29" s="777">
        <f t="shared" ref="AC29:AC30" si="136">Z29-AB29</f>
        <v>4512</v>
      </c>
      <c r="AD29" s="843">
        <f t="shared" si="92"/>
        <v>36.095999999999997</v>
      </c>
      <c r="AE29" s="776">
        <f>+'Plan - Semanal'!$H$57+'Plan - Semanal'!$H$58+'Plan - Semanal'!$H$59+'Plan - Semanal'!$H$60</f>
        <v>0</v>
      </c>
      <c r="AF29" s="777">
        <f t="shared" ref="AF29:AF30" si="137">AC29-AE29</f>
        <v>4512</v>
      </c>
      <c r="AG29" s="802">
        <f t="shared" si="94"/>
        <v>36.095999999999997</v>
      </c>
      <c r="AH29" s="776">
        <f>+'Plan - Semanal'!$I$57+'Plan - Semanal'!$I$58+'Plan - Semanal'!$I$59+'Plan - Semanal'!$I$60</f>
        <v>0</v>
      </c>
      <c r="AI29" s="777">
        <f t="shared" ref="AI29:AI30" si="138">AF29-AH29</f>
        <v>4512</v>
      </c>
      <c r="AJ29" s="802">
        <f t="shared" si="96"/>
        <v>36.095999999999997</v>
      </c>
      <c r="AK29" s="783">
        <f>+'Plan - Semanal'!$M$57+'Plan - Semanal'!$M$58+'Plan - Semanal'!$M$59+'Plan - Semanal'!$M$60</f>
        <v>0</v>
      </c>
      <c r="AL29" s="792">
        <f t="shared" ref="AL29:AL30" si="139">AI29-AK29</f>
        <v>4512</v>
      </c>
      <c r="AM29" s="843">
        <f t="shared" si="98"/>
        <v>36.095999999999997</v>
      </c>
      <c r="AN29" s="783">
        <f>+'Plan - Semanal'!$N$57+'Plan - Semanal'!$N$58+'Plan - Semanal'!$N$59+'Plan - Semanal'!$N$60</f>
        <v>0</v>
      </c>
      <c r="AO29" s="792">
        <f t="shared" ref="AO29:AO30" si="140">AL29-AN29</f>
        <v>4512</v>
      </c>
      <c r="AP29" s="843">
        <f t="shared" si="100"/>
        <v>36.095999999999997</v>
      </c>
      <c r="AQ29" s="783">
        <f>+'Plan - Semanal'!$O$57+'Plan - Semanal'!$O$58+'Plan - Semanal'!$O$59+'Plan - Semanal'!$O$60</f>
        <v>0</v>
      </c>
      <c r="AR29" s="792">
        <f t="shared" ref="AR29:AR30" si="141">AO29-AQ29</f>
        <v>4512</v>
      </c>
      <c r="AS29" s="843">
        <f t="shared" ref="AS29:AS30" si="142">AR29/M29</f>
        <v>36.095999999999997</v>
      </c>
    </row>
    <row r="30" spans="1:45" x14ac:dyDescent="0.25">
      <c r="A30" s="1046" t="s">
        <v>440</v>
      </c>
      <c r="B30" s="1046" t="s">
        <v>441</v>
      </c>
      <c r="C30" s="780">
        <v>144000</v>
      </c>
      <c r="D30" s="780" t="s">
        <v>271</v>
      </c>
      <c r="E30" s="794">
        <f t="shared" si="129"/>
        <v>576</v>
      </c>
      <c r="F30" s="780" t="s">
        <v>254</v>
      </c>
      <c r="H30" s="781">
        <v>912000</v>
      </c>
      <c r="I30" s="776" t="s">
        <v>271</v>
      </c>
      <c r="J30" s="771"/>
      <c r="K30" s="790">
        <f t="shared" si="130"/>
        <v>3648</v>
      </c>
      <c r="L30" s="771"/>
      <c r="M30" s="783">
        <v>40</v>
      </c>
      <c r="N30" s="784">
        <f t="shared" si="131"/>
        <v>91.2</v>
      </c>
      <c r="O30" s="775"/>
      <c r="P30" s="776">
        <f>+'Plan - Semanal'!$C$61+'Plan - Semanal'!$C$62+'Plan - Semanal'!$C$63+'Plan - Semanal'!$C$64</f>
        <v>0</v>
      </c>
      <c r="Q30" s="777">
        <f t="shared" si="132"/>
        <v>3648</v>
      </c>
      <c r="R30" s="843">
        <f t="shared" si="84"/>
        <v>91.2</v>
      </c>
      <c r="S30" s="844">
        <f>+'Plan - Semanal'!$D$61+'Plan - Semanal'!$D$62+'Plan - Semanal'!$D$63+'Plan - Semanal'!$D$64</f>
        <v>0</v>
      </c>
      <c r="T30" s="788">
        <f t="shared" si="133"/>
        <v>3648</v>
      </c>
      <c r="U30" s="843">
        <f t="shared" si="86"/>
        <v>91.2</v>
      </c>
      <c r="V30" s="782">
        <f>+'Plan - Semanal'!$E$61+'Plan - Semanal'!$E$62+'Plan - Semanal'!$E$63+'Plan - Semanal'!$E$64</f>
        <v>0</v>
      </c>
      <c r="W30" s="790">
        <f t="shared" si="134"/>
        <v>3648</v>
      </c>
      <c r="X30" s="843">
        <f t="shared" si="88"/>
        <v>91.2</v>
      </c>
      <c r="Y30" s="844">
        <f>+'Plan - Semanal'!$F$61+'Plan - Semanal'!$F$62+'Plan - Semanal'!$F$63+'Plan - Semanal'!$F$64</f>
        <v>200</v>
      </c>
      <c r="Z30" s="788">
        <f t="shared" si="135"/>
        <v>3448</v>
      </c>
      <c r="AA30" s="843">
        <f t="shared" si="90"/>
        <v>86.2</v>
      </c>
      <c r="AB30" s="776">
        <f>+'Plan - Semanal'!$G$61+'Plan - Semanal'!$G$62+'Plan - Semanal'!$G$63+'Plan - Semanal'!$G$64</f>
        <v>0</v>
      </c>
      <c r="AC30" s="777">
        <f t="shared" si="136"/>
        <v>3448</v>
      </c>
      <c r="AD30" s="843">
        <f t="shared" si="92"/>
        <v>86.2</v>
      </c>
      <c r="AE30" s="776">
        <f>+'Plan - Semanal'!$H$61+'Plan - Semanal'!$H$62+'Plan - Semanal'!$H$63+'Plan - Semanal'!$H$64</f>
        <v>0</v>
      </c>
      <c r="AF30" s="777">
        <f t="shared" si="137"/>
        <v>3448</v>
      </c>
      <c r="AG30" s="802">
        <f t="shared" si="94"/>
        <v>86.2</v>
      </c>
      <c r="AH30" s="776">
        <f>+'Plan - Semanal'!$I$61+'Plan - Semanal'!$I$62+'Plan - Semanal'!$I$63+'Plan - Semanal'!$I$64</f>
        <v>0</v>
      </c>
      <c r="AI30" s="777">
        <f t="shared" si="138"/>
        <v>3448</v>
      </c>
      <c r="AJ30" s="802">
        <f t="shared" si="96"/>
        <v>86.2</v>
      </c>
      <c r="AK30" s="783">
        <f>+'Plan - Semanal'!$M$61+'Plan - Semanal'!$M$62+'Plan - Semanal'!$M$63+'Plan - Semanal'!$M$64</f>
        <v>0</v>
      </c>
      <c r="AL30" s="792">
        <f t="shared" si="139"/>
        <v>3448</v>
      </c>
      <c r="AM30" s="843">
        <f t="shared" si="98"/>
        <v>86.2</v>
      </c>
      <c r="AN30" s="783">
        <f>+'Plan - Semanal'!$N$61+'Plan - Semanal'!$N$62+'Plan - Semanal'!$N$63+'Plan - Semanal'!$N$64</f>
        <v>0</v>
      </c>
      <c r="AO30" s="792">
        <f t="shared" si="140"/>
        <v>3448</v>
      </c>
      <c r="AP30" s="843">
        <f t="shared" si="100"/>
        <v>86.2</v>
      </c>
      <c r="AQ30" s="783">
        <f>+'Plan - Semanal'!$O$61+'Plan - Semanal'!$O$62+'Plan - Semanal'!$O$63+'Plan - Semanal'!$O$64</f>
        <v>0</v>
      </c>
      <c r="AR30" s="792">
        <f t="shared" si="141"/>
        <v>3448</v>
      </c>
      <c r="AS30" s="843">
        <f t="shared" si="142"/>
        <v>86.2</v>
      </c>
    </row>
    <row r="31" spans="1:45" x14ac:dyDescent="0.25">
      <c r="A31" s="943" t="s">
        <v>393</v>
      </c>
      <c r="B31" s="934" t="s">
        <v>386</v>
      </c>
      <c r="C31" s="780">
        <v>120000</v>
      </c>
      <c r="D31" s="780" t="s">
        <v>271</v>
      </c>
      <c r="E31" s="794">
        <f>(C31*1)/250</f>
        <v>480</v>
      </c>
      <c r="F31" s="780" t="s">
        <v>254</v>
      </c>
      <c r="H31" s="781">
        <v>878500</v>
      </c>
      <c r="I31" s="776" t="s">
        <v>271</v>
      </c>
      <c r="J31" s="771"/>
      <c r="K31" s="790">
        <f t="shared" ref="K31:K43" si="143">(H31*E31)/C31</f>
        <v>3514</v>
      </c>
      <c r="L31" s="771"/>
      <c r="M31" s="783">
        <v>75</v>
      </c>
      <c r="N31" s="784">
        <f t="shared" ref="N31:N39" si="144">K31/M31</f>
        <v>46.853333333333332</v>
      </c>
      <c r="O31" s="775"/>
      <c r="P31" s="776">
        <f>+'Plan - Semanal'!$C$65+'Plan - Semanal'!$C$66+'Plan - Semanal'!$C$67+'Plan - Semanal'!$C$68</f>
        <v>0</v>
      </c>
      <c r="Q31" s="777">
        <f>K31-P31</f>
        <v>3514</v>
      </c>
      <c r="R31" s="843">
        <f t="shared" si="84"/>
        <v>46.853333333333332</v>
      </c>
      <c r="S31" s="844">
        <f>+'Plan - Semanal'!$D$65+'Plan - Semanal'!$D$66+'Plan - Semanal'!$D$67+'Plan - Semanal'!$D$68</f>
        <v>0</v>
      </c>
      <c r="T31" s="788">
        <f t="shared" ref="T31" si="145">Q31-S31</f>
        <v>3514</v>
      </c>
      <c r="U31" s="843">
        <f t="shared" si="86"/>
        <v>46.853333333333332</v>
      </c>
      <c r="V31" s="782">
        <f>+'Plan - Semanal'!$E$65+'Plan - Semanal'!$E$66+'Plan - Semanal'!$E$67+'Plan - Semanal'!$E$68</f>
        <v>0</v>
      </c>
      <c r="W31" s="790">
        <f t="shared" ref="W31" si="146">T31-V31</f>
        <v>3514</v>
      </c>
      <c r="X31" s="843">
        <f t="shared" si="88"/>
        <v>46.853333333333332</v>
      </c>
      <c r="Y31" s="844">
        <f>+'Plan - Semanal'!$F$65+'Plan - Semanal'!$F$66+'Plan - Semanal'!$F$67+'Plan - Semanal'!$F$68</f>
        <v>0</v>
      </c>
      <c r="Z31" s="788">
        <f t="shared" ref="Z31" si="147">W31-Y31</f>
        <v>3514</v>
      </c>
      <c r="AA31" s="843">
        <f t="shared" si="90"/>
        <v>46.853333333333332</v>
      </c>
      <c r="AB31" s="776">
        <f>+'Plan - Semanal'!$G$65+'Plan - Semanal'!$G$66+'Plan - Semanal'!$G$67+'Plan - Semanal'!$G$68</f>
        <v>700</v>
      </c>
      <c r="AC31" s="777">
        <f>Z31-AB31</f>
        <v>2814</v>
      </c>
      <c r="AD31" s="843">
        <f t="shared" si="92"/>
        <v>37.520000000000003</v>
      </c>
      <c r="AE31" s="776">
        <f>+'Plan - Semanal'!$H$65+'Plan - Semanal'!$H$66+'Plan - Semanal'!$H$67+'Plan - Semanal'!$H$68</f>
        <v>0</v>
      </c>
      <c r="AF31" s="777">
        <f t="shared" ref="AF31" si="148">AC31-AE31</f>
        <v>2814</v>
      </c>
      <c r="AG31" s="802">
        <f t="shared" si="94"/>
        <v>37.520000000000003</v>
      </c>
      <c r="AH31" s="776">
        <f>+'Plan - Semanal'!$I$65+'Plan - Semanal'!$I$66+'Plan - Semanal'!$I$67+'Plan - Semanal'!$I$68</f>
        <v>0</v>
      </c>
      <c r="AI31" s="777">
        <f>AF31-AH31</f>
        <v>2814</v>
      </c>
      <c r="AJ31" s="802">
        <f t="shared" si="96"/>
        <v>37.520000000000003</v>
      </c>
      <c r="AK31" s="783">
        <f>+'Plan - Semanal'!$M$65+'Plan - Semanal'!$M$66+'Plan - Semanal'!$M$67+'Plan - Semanal'!$M$68</f>
        <v>0</v>
      </c>
      <c r="AL31" s="792">
        <f>AI31-AK31</f>
        <v>2814</v>
      </c>
      <c r="AM31" s="843">
        <f t="shared" si="98"/>
        <v>37.520000000000003</v>
      </c>
      <c r="AN31" s="783">
        <f>+'Plan - Semanal'!$N$65+'Plan - Semanal'!$N$66+'Plan - Semanal'!$N$67+'Plan - Semanal'!$N$68</f>
        <v>0</v>
      </c>
      <c r="AO31" s="792">
        <f t="shared" ref="AO31" si="149">AL31-AN31</f>
        <v>2814</v>
      </c>
      <c r="AP31" s="843">
        <f t="shared" si="100"/>
        <v>37.520000000000003</v>
      </c>
      <c r="AQ31" s="783">
        <f>+'Plan - Semanal'!$O$65+'Plan - Semanal'!$O$66+'Plan - Semanal'!$O$67+'Plan - Semanal'!$O$68</f>
        <v>0</v>
      </c>
      <c r="AR31" s="792">
        <f t="shared" ref="AR31" si="150">AO31-AQ31</f>
        <v>2814</v>
      </c>
      <c r="AS31" s="843">
        <f t="shared" ref="AS31" si="151">AR31/M31</f>
        <v>37.520000000000003</v>
      </c>
    </row>
    <row r="32" spans="1:45" x14ac:dyDescent="0.25">
      <c r="A32" s="1053" t="s">
        <v>452</v>
      </c>
      <c r="B32" s="1053" t="s">
        <v>454</v>
      </c>
      <c r="C32" s="780">
        <v>1</v>
      </c>
      <c r="D32" s="780" t="s">
        <v>253</v>
      </c>
      <c r="E32" s="780">
        <v>60</v>
      </c>
      <c r="F32" s="780" t="s">
        <v>254</v>
      </c>
      <c r="H32" s="781">
        <v>109</v>
      </c>
      <c r="I32" s="776" t="s">
        <v>253</v>
      </c>
      <c r="J32" s="771"/>
      <c r="K32" s="790">
        <f t="shared" si="143"/>
        <v>6540</v>
      </c>
      <c r="L32" s="771"/>
      <c r="M32" s="783">
        <v>300</v>
      </c>
      <c r="N32" s="784">
        <f t="shared" si="144"/>
        <v>21.8</v>
      </c>
      <c r="O32" s="775"/>
      <c r="P32" s="776">
        <f>P10+P11+P12</f>
        <v>700</v>
      </c>
      <c r="Q32" s="777">
        <f t="shared" ref="Q32:Q39" si="152">K32-P32</f>
        <v>5840</v>
      </c>
      <c r="R32" s="843">
        <f t="shared" si="84"/>
        <v>19.466666666666665</v>
      </c>
      <c r="S32" s="844">
        <f>S10+S11+S12</f>
        <v>700</v>
      </c>
      <c r="T32" s="788">
        <f t="shared" ref="T32:T39" si="153">Q32-S32</f>
        <v>5140</v>
      </c>
      <c r="U32" s="843">
        <f t="shared" si="86"/>
        <v>17.133333333333333</v>
      </c>
      <c r="V32" s="782">
        <f>V10+V11+V12</f>
        <v>700</v>
      </c>
      <c r="W32" s="790">
        <f t="shared" ref="W32:W39" si="154">T32-V32</f>
        <v>4440</v>
      </c>
      <c r="X32" s="843">
        <f t="shared" si="88"/>
        <v>14.8</v>
      </c>
      <c r="Y32" s="844">
        <f>Y10+Y11+Y12</f>
        <v>500</v>
      </c>
      <c r="Z32" s="788">
        <f t="shared" ref="Z32:Z39" si="155">W32-Y32</f>
        <v>3940</v>
      </c>
      <c r="AA32" s="843">
        <f t="shared" si="90"/>
        <v>13.133333333333333</v>
      </c>
      <c r="AB32" s="776">
        <f>AB10+AB11+AB12</f>
        <v>0</v>
      </c>
      <c r="AC32" s="777">
        <f t="shared" ref="AC32:AC39" si="156">Z32-AB32</f>
        <v>3940</v>
      </c>
      <c r="AD32" s="843">
        <f t="shared" si="92"/>
        <v>13.133333333333333</v>
      </c>
      <c r="AE32" s="776">
        <f>AE10+AE11+AE12</f>
        <v>0</v>
      </c>
      <c r="AF32" s="777">
        <f t="shared" ref="AF32:AF39" si="157">AC32-AE32</f>
        <v>3940</v>
      </c>
      <c r="AG32" s="802">
        <f t="shared" si="94"/>
        <v>13.133333333333333</v>
      </c>
      <c r="AH32" s="776">
        <f>AH10+AH11+AH12</f>
        <v>0</v>
      </c>
      <c r="AI32" s="777">
        <f t="shared" ref="AI32:AI39" si="158">AF32-AH32</f>
        <v>3940</v>
      </c>
      <c r="AJ32" s="802">
        <f t="shared" si="96"/>
        <v>13.133333333333333</v>
      </c>
      <c r="AK32" s="783">
        <f>AK10+AK11+AK12</f>
        <v>0</v>
      </c>
      <c r="AL32" s="792">
        <f t="shared" ref="AL32:AL39" si="159">AI32-AK32</f>
        <v>3940</v>
      </c>
      <c r="AM32" s="843">
        <f t="shared" si="98"/>
        <v>13.133333333333333</v>
      </c>
      <c r="AN32" s="783">
        <f>AN10+AN11+AN12</f>
        <v>0</v>
      </c>
      <c r="AO32" s="792">
        <f t="shared" ref="AO32:AO39" si="160">AL32-AN32</f>
        <v>3940</v>
      </c>
      <c r="AP32" s="843">
        <f t="shared" si="100"/>
        <v>13.133333333333333</v>
      </c>
      <c r="AQ32" s="783">
        <f>AQ10+AQ11+AQ12</f>
        <v>0</v>
      </c>
      <c r="AR32" s="792">
        <f t="shared" ref="AR32:AR39" si="161">AO32-AQ32</f>
        <v>3940</v>
      </c>
      <c r="AS32" s="843">
        <f t="shared" ref="AS32:AS39" si="162">AR32/M32</f>
        <v>13.133333333333333</v>
      </c>
    </row>
    <row r="33" spans="1:45" x14ac:dyDescent="0.25">
      <c r="A33" s="1053" t="s">
        <v>453</v>
      </c>
      <c r="B33" s="1053" t="s">
        <v>455</v>
      </c>
      <c r="C33" s="780">
        <v>1</v>
      </c>
      <c r="D33" s="780" t="s">
        <v>253</v>
      </c>
      <c r="E33" s="780">
        <v>60</v>
      </c>
      <c r="F33" s="780" t="s">
        <v>254</v>
      </c>
      <c r="H33" s="781">
        <v>255</v>
      </c>
      <c r="I33" s="776" t="s">
        <v>253</v>
      </c>
      <c r="J33" s="771"/>
      <c r="K33" s="790">
        <f t="shared" si="143"/>
        <v>15300</v>
      </c>
      <c r="L33" s="771"/>
      <c r="M33" s="783">
        <v>440</v>
      </c>
      <c r="N33" s="784">
        <f t="shared" si="144"/>
        <v>34.772727272727273</v>
      </c>
      <c r="O33" s="775"/>
      <c r="P33" s="776">
        <f>+P13</f>
        <v>0</v>
      </c>
      <c r="Q33" s="777">
        <f t="shared" si="152"/>
        <v>15300</v>
      </c>
      <c r="R33" s="843">
        <f t="shared" si="84"/>
        <v>34.772727272727273</v>
      </c>
      <c r="S33" s="844">
        <f>+S13</f>
        <v>0</v>
      </c>
      <c r="T33" s="788">
        <f t="shared" si="153"/>
        <v>15300</v>
      </c>
      <c r="U33" s="843">
        <f t="shared" si="86"/>
        <v>34.772727272727273</v>
      </c>
      <c r="V33" s="782">
        <f>+V13</f>
        <v>0</v>
      </c>
      <c r="W33" s="790">
        <f t="shared" si="154"/>
        <v>15300</v>
      </c>
      <c r="X33" s="843">
        <f t="shared" si="88"/>
        <v>34.772727272727273</v>
      </c>
      <c r="Y33" s="844">
        <f>+Y13</f>
        <v>0</v>
      </c>
      <c r="Z33" s="788">
        <f t="shared" si="155"/>
        <v>15300</v>
      </c>
      <c r="AA33" s="843">
        <f t="shared" si="90"/>
        <v>34.772727272727273</v>
      </c>
      <c r="AB33" s="776">
        <f>+AB13</f>
        <v>0</v>
      </c>
      <c r="AC33" s="777">
        <f t="shared" si="156"/>
        <v>15300</v>
      </c>
      <c r="AD33" s="843">
        <f t="shared" si="92"/>
        <v>34.772727272727273</v>
      </c>
      <c r="AE33" s="776">
        <f>+AE13</f>
        <v>700</v>
      </c>
      <c r="AF33" s="777">
        <f t="shared" si="157"/>
        <v>14600</v>
      </c>
      <c r="AG33" s="802">
        <f t="shared" si="94"/>
        <v>33.18181818181818</v>
      </c>
      <c r="AH33" s="776">
        <f>+AH13</f>
        <v>0</v>
      </c>
      <c r="AI33" s="777">
        <f t="shared" si="158"/>
        <v>14600</v>
      </c>
      <c r="AJ33" s="802">
        <f t="shared" si="96"/>
        <v>33.18181818181818</v>
      </c>
      <c r="AK33" s="783">
        <f>+AK13</f>
        <v>0</v>
      </c>
      <c r="AL33" s="792">
        <f t="shared" si="159"/>
        <v>14600</v>
      </c>
      <c r="AM33" s="843">
        <f t="shared" si="98"/>
        <v>33.18181818181818</v>
      </c>
      <c r="AN33" s="783">
        <f>+AN13</f>
        <v>0</v>
      </c>
      <c r="AO33" s="792">
        <f t="shared" si="160"/>
        <v>14600</v>
      </c>
      <c r="AP33" s="843">
        <f t="shared" si="100"/>
        <v>33.18181818181818</v>
      </c>
      <c r="AQ33" s="783">
        <f>+AQ13</f>
        <v>0</v>
      </c>
      <c r="AR33" s="792">
        <f t="shared" si="161"/>
        <v>14600</v>
      </c>
      <c r="AS33" s="843">
        <f t="shared" si="162"/>
        <v>33.18181818181818</v>
      </c>
    </row>
    <row r="34" spans="1:45" x14ac:dyDescent="0.25">
      <c r="A34" s="779" t="s">
        <v>278</v>
      </c>
      <c r="B34" s="1053" t="s">
        <v>456</v>
      </c>
      <c r="C34" s="780">
        <v>1</v>
      </c>
      <c r="D34" s="780" t="s">
        <v>253</v>
      </c>
      <c r="E34" s="780">
        <v>70</v>
      </c>
      <c r="F34" s="780" t="s">
        <v>254</v>
      </c>
      <c r="H34" s="781">
        <v>222</v>
      </c>
      <c r="I34" s="776" t="s">
        <v>253</v>
      </c>
      <c r="J34" s="771"/>
      <c r="K34" s="790">
        <f t="shared" si="143"/>
        <v>15540</v>
      </c>
      <c r="L34" s="771"/>
      <c r="M34" s="783">
        <v>1200</v>
      </c>
      <c r="N34" s="784">
        <f t="shared" si="144"/>
        <v>12.95</v>
      </c>
      <c r="O34" s="775"/>
      <c r="P34" s="776">
        <f>+P3+P4+P5+P6+P8+P9</f>
        <v>1200</v>
      </c>
      <c r="Q34" s="777">
        <f t="shared" si="152"/>
        <v>14340</v>
      </c>
      <c r="R34" s="843">
        <f t="shared" si="84"/>
        <v>11.95</v>
      </c>
      <c r="S34" s="844">
        <f>+S3+S4+S5+S6+S8+S9</f>
        <v>1200</v>
      </c>
      <c r="T34" s="788">
        <f t="shared" si="153"/>
        <v>13140</v>
      </c>
      <c r="U34" s="843">
        <f t="shared" si="86"/>
        <v>10.95</v>
      </c>
      <c r="V34" s="782">
        <f>+V3+V4+V5+V6+V8+V9</f>
        <v>1200</v>
      </c>
      <c r="W34" s="790">
        <f t="shared" si="154"/>
        <v>11940</v>
      </c>
      <c r="X34" s="843">
        <f t="shared" si="88"/>
        <v>9.9499999999999993</v>
      </c>
      <c r="Y34" s="844">
        <f>+Y3+Y4+Y5+Y6+Y8+Y9</f>
        <v>1200</v>
      </c>
      <c r="Z34" s="788">
        <f t="shared" si="155"/>
        <v>10740</v>
      </c>
      <c r="AA34" s="843">
        <f t="shared" si="90"/>
        <v>8.9499999999999993</v>
      </c>
      <c r="AB34" s="776">
        <f>+AB3+AB4+AB5+AB6+AB8+AB9</f>
        <v>1200</v>
      </c>
      <c r="AC34" s="777">
        <f t="shared" si="156"/>
        <v>9540</v>
      </c>
      <c r="AD34" s="843">
        <f t="shared" si="92"/>
        <v>7.95</v>
      </c>
      <c r="AE34" s="776">
        <f>+AE3+AE4+AE5+AE6+AE8+AE9</f>
        <v>0</v>
      </c>
      <c r="AF34" s="777">
        <f t="shared" si="157"/>
        <v>9540</v>
      </c>
      <c r="AG34" s="802">
        <f t="shared" si="94"/>
        <v>7.95</v>
      </c>
      <c r="AH34" s="776">
        <f>+AH3+AH4+AH5+AH6+AH8+AH9</f>
        <v>0</v>
      </c>
      <c r="AI34" s="777">
        <f t="shared" si="158"/>
        <v>9540</v>
      </c>
      <c r="AJ34" s="802">
        <f t="shared" si="96"/>
        <v>7.95</v>
      </c>
      <c r="AK34" s="783">
        <f>+AK3+AK4+AK5+AK6+AK8+AK9</f>
        <v>0</v>
      </c>
      <c r="AL34" s="792">
        <f t="shared" si="159"/>
        <v>9540</v>
      </c>
      <c r="AM34" s="843">
        <f t="shared" si="98"/>
        <v>7.95</v>
      </c>
      <c r="AN34" s="783">
        <f>+AN3+AN4+AN5+AN6+AN8+AN9</f>
        <v>0</v>
      </c>
      <c r="AO34" s="792">
        <f t="shared" si="160"/>
        <v>9540</v>
      </c>
      <c r="AP34" s="843">
        <f t="shared" si="100"/>
        <v>7.95</v>
      </c>
      <c r="AQ34" s="783">
        <f>+AQ3+AQ4+AQ5+AQ6+AQ8+AQ9</f>
        <v>0</v>
      </c>
      <c r="AR34" s="792">
        <f t="shared" si="161"/>
        <v>9540</v>
      </c>
      <c r="AS34" s="843">
        <f t="shared" si="162"/>
        <v>7.95</v>
      </c>
    </row>
    <row r="35" spans="1:45" x14ac:dyDescent="0.25">
      <c r="A35" s="779" t="s">
        <v>279</v>
      </c>
      <c r="B35" s="1053" t="s">
        <v>457</v>
      </c>
      <c r="C35" s="780">
        <v>1</v>
      </c>
      <c r="D35" s="780" t="s">
        <v>253</v>
      </c>
      <c r="E35" s="780">
        <v>60</v>
      </c>
      <c r="F35" s="780" t="s">
        <v>254</v>
      </c>
      <c r="H35" s="781">
        <v>325</v>
      </c>
      <c r="I35" s="776" t="s">
        <v>253</v>
      </c>
      <c r="J35" s="771"/>
      <c r="K35" s="790">
        <f t="shared" si="143"/>
        <v>19500</v>
      </c>
      <c r="L35" s="771"/>
      <c r="M35" s="783">
        <v>800</v>
      </c>
      <c r="N35" s="784">
        <f t="shared" si="144"/>
        <v>24.375</v>
      </c>
      <c r="O35" s="775"/>
      <c r="P35" s="776">
        <f>+P10+P11+P12+P13</f>
        <v>700</v>
      </c>
      <c r="Q35" s="777">
        <f t="shared" si="152"/>
        <v>18800</v>
      </c>
      <c r="R35" s="843">
        <f t="shared" si="84"/>
        <v>23.5</v>
      </c>
      <c r="S35" s="844">
        <f>+S10+S11+S12+S13</f>
        <v>700</v>
      </c>
      <c r="T35" s="788">
        <f t="shared" si="153"/>
        <v>18100</v>
      </c>
      <c r="U35" s="843">
        <f t="shared" si="86"/>
        <v>22.625</v>
      </c>
      <c r="V35" s="782">
        <f>+V10+V11+V12+V13</f>
        <v>700</v>
      </c>
      <c r="W35" s="790">
        <f t="shared" si="154"/>
        <v>17400</v>
      </c>
      <c r="X35" s="843">
        <f t="shared" si="88"/>
        <v>21.75</v>
      </c>
      <c r="Y35" s="844">
        <f>+Y10+Y11+Y12+Y13</f>
        <v>500</v>
      </c>
      <c r="Z35" s="788">
        <f t="shared" si="155"/>
        <v>16900</v>
      </c>
      <c r="AA35" s="843">
        <f t="shared" si="90"/>
        <v>21.125</v>
      </c>
      <c r="AB35" s="776">
        <f>+AB10+AB11+AB12+AB13</f>
        <v>0</v>
      </c>
      <c r="AC35" s="777">
        <f t="shared" si="156"/>
        <v>16900</v>
      </c>
      <c r="AD35" s="843">
        <f t="shared" si="92"/>
        <v>21.125</v>
      </c>
      <c r="AE35" s="776">
        <f>+AE10+AE11+AE12+AE13</f>
        <v>700</v>
      </c>
      <c r="AF35" s="777">
        <f t="shared" si="157"/>
        <v>16200</v>
      </c>
      <c r="AG35" s="802">
        <f t="shared" si="94"/>
        <v>20.25</v>
      </c>
      <c r="AH35" s="776">
        <f>+AH10+AH11+AH12+AH13</f>
        <v>0</v>
      </c>
      <c r="AI35" s="777">
        <f t="shared" si="158"/>
        <v>16200</v>
      </c>
      <c r="AJ35" s="802">
        <f t="shared" si="96"/>
        <v>20.25</v>
      </c>
      <c r="AK35" s="783">
        <f>+AK10+AK11+AK12+AK13</f>
        <v>0</v>
      </c>
      <c r="AL35" s="792">
        <f t="shared" si="159"/>
        <v>16200</v>
      </c>
      <c r="AM35" s="843">
        <f t="shared" si="98"/>
        <v>20.25</v>
      </c>
      <c r="AN35" s="783">
        <f>+AN10+AN11+AN12+AN13</f>
        <v>0</v>
      </c>
      <c r="AO35" s="792">
        <f t="shared" si="160"/>
        <v>16200</v>
      </c>
      <c r="AP35" s="843">
        <f t="shared" si="100"/>
        <v>20.25</v>
      </c>
      <c r="AQ35" s="783">
        <f>+AQ10+AQ11+AQ12+AQ13</f>
        <v>0</v>
      </c>
      <c r="AR35" s="792">
        <f t="shared" si="161"/>
        <v>16200</v>
      </c>
      <c r="AS35" s="843">
        <f t="shared" si="162"/>
        <v>20.25</v>
      </c>
    </row>
    <row r="36" spans="1:45" x14ac:dyDescent="0.25">
      <c r="A36" s="795" t="s">
        <v>280</v>
      </c>
      <c r="B36" s="1053" t="s">
        <v>458</v>
      </c>
      <c r="C36" s="780">
        <v>1</v>
      </c>
      <c r="D36" s="780" t="s">
        <v>253</v>
      </c>
      <c r="E36" s="780">
        <v>275</v>
      </c>
      <c r="F36" s="780" t="s">
        <v>254</v>
      </c>
      <c r="H36" s="781">
        <v>65</v>
      </c>
      <c r="I36" s="776" t="s">
        <v>253</v>
      </c>
      <c r="J36" s="771"/>
      <c r="K36" s="790">
        <f t="shared" si="143"/>
        <v>17875</v>
      </c>
      <c r="L36" s="771"/>
      <c r="M36" s="783">
        <v>1200</v>
      </c>
      <c r="N36" s="784">
        <f t="shared" si="144"/>
        <v>14.895833333333334</v>
      </c>
      <c r="O36" s="775"/>
      <c r="P36" s="776">
        <f>+P3+P4+P5+P6+P8+P9</f>
        <v>1200</v>
      </c>
      <c r="Q36" s="777">
        <f t="shared" si="152"/>
        <v>16675</v>
      </c>
      <c r="R36" s="843">
        <f t="shared" si="84"/>
        <v>13.895833333333334</v>
      </c>
      <c r="S36" s="844">
        <f>+S3+S4+S5+S6+S8+S9</f>
        <v>1200</v>
      </c>
      <c r="T36" s="788">
        <f t="shared" si="153"/>
        <v>15475</v>
      </c>
      <c r="U36" s="843">
        <f t="shared" si="86"/>
        <v>12.895833333333334</v>
      </c>
      <c r="V36" s="782">
        <f>+V3+V4+V5+V6+V8+V9</f>
        <v>1200</v>
      </c>
      <c r="W36" s="790">
        <f t="shared" si="154"/>
        <v>14275</v>
      </c>
      <c r="X36" s="843">
        <f t="shared" si="88"/>
        <v>11.895833333333334</v>
      </c>
      <c r="Y36" s="844">
        <f>+Y3+Y4+Y5+Y6+Y8+Y9</f>
        <v>1200</v>
      </c>
      <c r="Z36" s="788">
        <f t="shared" si="155"/>
        <v>13075</v>
      </c>
      <c r="AA36" s="843">
        <f t="shared" si="90"/>
        <v>10.895833333333334</v>
      </c>
      <c r="AB36" s="776">
        <f>+AB3+AB4+AB5+AB6+AB8+AB9</f>
        <v>1200</v>
      </c>
      <c r="AC36" s="777">
        <f t="shared" si="156"/>
        <v>11875</v>
      </c>
      <c r="AD36" s="843">
        <f t="shared" si="92"/>
        <v>9.8958333333333339</v>
      </c>
      <c r="AE36" s="776">
        <f>+AE3+AE4+AE5+AE6+AE8+AE9</f>
        <v>0</v>
      </c>
      <c r="AF36" s="777">
        <f t="shared" si="157"/>
        <v>11875</v>
      </c>
      <c r="AG36" s="802">
        <f t="shared" si="94"/>
        <v>9.8958333333333339</v>
      </c>
      <c r="AH36" s="776">
        <f>+AH3+AH4+AH5+AH6+AH8+AH9</f>
        <v>0</v>
      </c>
      <c r="AI36" s="777">
        <f t="shared" si="158"/>
        <v>11875</v>
      </c>
      <c r="AJ36" s="802">
        <f t="shared" si="96"/>
        <v>9.8958333333333339</v>
      </c>
      <c r="AK36" s="783">
        <f>+AK3+AK4+AK5+AK6+AK8+AK9</f>
        <v>0</v>
      </c>
      <c r="AL36" s="792">
        <f t="shared" si="159"/>
        <v>11875</v>
      </c>
      <c r="AM36" s="843">
        <f t="shared" si="98"/>
        <v>9.8958333333333339</v>
      </c>
      <c r="AN36" s="783">
        <f>+AN3+AN4+AN5+AN6+AN8+AN9</f>
        <v>0</v>
      </c>
      <c r="AO36" s="792">
        <f t="shared" si="160"/>
        <v>11875</v>
      </c>
      <c r="AP36" s="843">
        <f t="shared" si="100"/>
        <v>9.8958333333333339</v>
      </c>
      <c r="AQ36" s="783">
        <f>+AQ3+AQ4+AQ5+AQ6+AQ8+AQ9</f>
        <v>0</v>
      </c>
      <c r="AR36" s="792">
        <f t="shared" si="161"/>
        <v>11875</v>
      </c>
      <c r="AS36" s="843">
        <f t="shared" si="162"/>
        <v>9.8958333333333339</v>
      </c>
    </row>
    <row r="37" spans="1:45" x14ac:dyDescent="0.25">
      <c r="A37" s="795" t="s">
        <v>281</v>
      </c>
      <c r="B37" s="1053" t="s">
        <v>459</v>
      </c>
      <c r="C37" s="780">
        <v>1</v>
      </c>
      <c r="D37" s="780" t="s">
        <v>253</v>
      </c>
      <c r="E37" s="780">
        <v>250</v>
      </c>
      <c r="F37" s="780" t="s">
        <v>254</v>
      </c>
      <c r="H37" s="781">
        <v>54</v>
      </c>
      <c r="I37" s="776" t="s">
        <v>253</v>
      </c>
      <c r="J37" s="771"/>
      <c r="K37" s="790">
        <f t="shared" si="143"/>
        <v>13500</v>
      </c>
      <c r="L37" s="771"/>
      <c r="M37" s="783">
        <v>800</v>
      </c>
      <c r="N37" s="784">
        <f t="shared" si="144"/>
        <v>16.875</v>
      </c>
      <c r="O37" s="775"/>
      <c r="P37" s="776">
        <f>+P10+P11+P12+P13</f>
        <v>700</v>
      </c>
      <c r="Q37" s="777">
        <f t="shared" si="152"/>
        <v>12800</v>
      </c>
      <c r="R37" s="843">
        <f t="shared" si="84"/>
        <v>16</v>
      </c>
      <c r="S37" s="844">
        <f>+S10+S11+S12+S13</f>
        <v>700</v>
      </c>
      <c r="T37" s="788">
        <f t="shared" si="153"/>
        <v>12100</v>
      </c>
      <c r="U37" s="843">
        <f t="shared" si="86"/>
        <v>15.125</v>
      </c>
      <c r="V37" s="782">
        <f>+V10+V11+V12+V13</f>
        <v>700</v>
      </c>
      <c r="W37" s="790">
        <f t="shared" si="154"/>
        <v>11400</v>
      </c>
      <c r="X37" s="843">
        <f t="shared" si="88"/>
        <v>14.25</v>
      </c>
      <c r="Y37" s="844">
        <f>+Y10+Y11+Y12+Y13</f>
        <v>500</v>
      </c>
      <c r="Z37" s="788">
        <f t="shared" si="155"/>
        <v>10900</v>
      </c>
      <c r="AA37" s="843">
        <f t="shared" si="90"/>
        <v>13.625</v>
      </c>
      <c r="AB37" s="776">
        <f>+AB10+AB11+AB12+AB13</f>
        <v>0</v>
      </c>
      <c r="AC37" s="777">
        <f t="shared" si="156"/>
        <v>10900</v>
      </c>
      <c r="AD37" s="843">
        <f t="shared" si="92"/>
        <v>13.625</v>
      </c>
      <c r="AE37" s="776">
        <f>+AE10+AE11+AE12+AE13</f>
        <v>700</v>
      </c>
      <c r="AF37" s="777">
        <f t="shared" si="157"/>
        <v>10200</v>
      </c>
      <c r="AG37" s="802">
        <f t="shared" si="94"/>
        <v>12.75</v>
      </c>
      <c r="AH37" s="776">
        <f>+AH10+AH11+AH12+AH13</f>
        <v>0</v>
      </c>
      <c r="AI37" s="777">
        <f t="shared" si="158"/>
        <v>10200</v>
      </c>
      <c r="AJ37" s="802">
        <f t="shared" si="96"/>
        <v>12.75</v>
      </c>
      <c r="AK37" s="783">
        <f>+AK10+AK11+AK12+AK13</f>
        <v>0</v>
      </c>
      <c r="AL37" s="792">
        <f t="shared" si="159"/>
        <v>10200</v>
      </c>
      <c r="AM37" s="843">
        <f t="shared" si="98"/>
        <v>12.75</v>
      </c>
      <c r="AN37" s="783">
        <f>+AN10+AN11+AN12+AN13</f>
        <v>0</v>
      </c>
      <c r="AO37" s="792">
        <f t="shared" si="160"/>
        <v>10200</v>
      </c>
      <c r="AP37" s="843">
        <f t="shared" si="100"/>
        <v>12.75</v>
      </c>
      <c r="AQ37" s="783">
        <f>+AQ10+AQ11+AQ12+AQ13</f>
        <v>0</v>
      </c>
      <c r="AR37" s="792">
        <f t="shared" si="161"/>
        <v>10200</v>
      </c>
      <c r="AS37" s="843">
        <f t="shared" si="162"/>
        <v>12.75</v>
      </c>
    </row>
    <row r="38" spans="1:45" x14ac:dyDescent="0.25">
      <c r="A38" s="795" t="s">
        <v>282</v>
      </c>
      <c r="B38" s="1053" t="s">
        <v>460</v>
      </c>
      <c r="C38" s="780">
        <v>1</v>
      </c>
      <c r="D38" s="780" t="s">
        <v>253</v>
      </c>
      <c r="E38" s="780">
        <v>39</v>
      </c>
      <c r="F38" s="780" t="s">
        <v>254</v>
      </c>
      <c r="H38" s="781">
        <v>254</v>
      </c>
      <c r="I38" s="776" t="s">
        <v>253</v>
      </c>
      <c r="J38" s="771"/>
      <c r="K38" s="790">
        <f t="shared" si="143"/>
        <v>9906</v>
      </c>
      <c r="L38" s="771"/>
      <c r="M38" s="783">
        <v>305</v>
      </c>
      <c r="N38" s="784">
        <f t="shared" si="144"/>
        <v>32.478688524590162</v>
      </c>
      <c r="O38" s="775"/>
      <c r="P38" s="776">
        <f>+P3+P4+P5+P6+P8+P9</f>
        <v>1200</v>
      </c>
      <c r="Q38" s="777">
        <f t="shared" si="152"/>
        <v>8706</v>
      </c>
      <c r="R38" s="843">
        <f t="shared" si="84"/>
        <v>28.544262295081968</v>
      </c>
      <c r="S38" s="844">
        <f>+S3+S4+S5+S6+S8+S9</f>
        <v>1200</v>
      </c>
      <c r="T38" s="788">
        <f t="shared" si="153"/>
        <v>7506</v>
      </c>
      <c r="U38" s="843">
        <f t="shared" si="86"/>
        <v>24.60983606557377</v>
      </c>
      <c r="V38" s="782">
        <f>+V3+V4+V5+V6+V8+V9</f>
        <v>1200</v>
      </c>
      <c r="W38" s="790">
        <f t="shared" si="154"/>
        <v>6306</v>
      </c>
      <c r="X38" s="843">
        <f t="shared" si="88"/>
        <v>20.675409836065572</v>
      </c>
      <c r="Y38" s="844">
        <f>+Y3+Y4+Y5+Y6+Y8+Y9</f>
        <v>1200</v>
      </c>
      <c r="Z38" s="788">
        <f t="shared" si="155"/>
        <v>5106</v>
      </c>
      <c r="AA38" s="843">
        <f t="shared" si="90"/>
        <v>16.740983606557378</v>
      </c>
      <c r="AB38" s="776">
        <f>+AB3+AB4+AB5+AB6+AB8+AB9</f>
        <v>1200</v>
      </c>
      <c r="AC38" s="777">
        <f t="shared" si="156"/>
        <v>3906</v>
      </c>
      <c r="AD38" s="843">
        <f t="shared" si="92"/>
        <v>12.806557377049181</v>
      </c>
      <c r="AE38" s="776">
        <f>+AE3+AE4+AE5+AE6+AE8+AE9</f>
        <v>0</v>
      </c>
      <c r="AF38" s="777">
        <f t="shared" si="157"/>
        <v>3906</v>
      </c>
      <c r="AG38" s="802">
        <f t="shared" si="94"/>
        <v>12.806557377049181</v>
      </c>
      <c r="AH38" s="776">
        <f>+AH3+AH4+AH5+AH6+AH8+AH9</f>
        <v>0</v>
      </c>
      <c r="AI38" s="777">
        <f t="shared" si="158"/>
        <v>3906</v>
      </c>
      <c r="AJ38" s="802">
        <f t="shared" si="96"/>
        <v>12.806557377049181</v>
      </c>
      <c r="AK38" s="783">
        <f>+AK3+AK4+AK5+AK6+AK8+AK9</f>
        <v>0</v>
      </c>
      <c r="AL38" s="792">
        <f t="shared" si="159"/>
        <v>3906</v>
      </c>
      <c r="AM38" s="843">
        <f t="shared" si="98"/>
        <v>12.806557377049181</v>
      </c>
      <c r="AN38" s="783">
        <f>+AN3+AN4+AN5+AN6+AN8+AN9</f>
        <v>0</v>
      </c>
      <c r="AO38" s="792">
        <f t="shared" si="160"/>
        <v>3906</v>
      </c>
      <c r="AP38" s="843">
        <f t="shared" si="100"/>
        <v>12.806557377049181</v>
      </c>
      <c r="AQ38" s="783">
        <f>+AQ3+AQ4+AQ5+AQ6+AQ8+AQ9</f>
        <v>0</v>
      </c>
      <c r="AR38" s="792">
        <f t="shared" si="161"/>
        <v>3906</v>
      </c>
      <c r="AS38" s="843">
        <f t="shared" si="162"/>
        <v>12.806557377049181</v>
      </c>
    </row>
    <row r="39" spans="1:45" x14ac:dyDescent="0.25">
      <c r="A39" s="795" t="s">
        <v>283</v>
      </c>
      <c r="B39" s="1053" t="s">
        <v>461</v>
      </c>
      <c r="C39" s="780">
        <v>1</v>
      </c>
      <c r="D39" s="780" t="s">
        <v>253</v>
      </c>
      <c r="E39" s="780">
        <v>28</v>
      </c>
      <c r="F39" s="780" t="s">
        <v>254</v>
      </c>
      <c r="H39" s="781">
        <v>266</v>
      </c>
      <c r="I39" s="776" t="s">
        <v>253</v>
      </c>
      <c r="J39" s="771"/>
      <c r="K39" s="790">
        <f t="shared" si="143"/>
        <v>7448</v>
      </c>
      <c r="L39" s="771"/>
      <c r="M39" s="783">
        <v>800</v>
      </c>
      <c r="N39" s="784">
        <f t="shared" si="144"/>
        <v>9.31</v>
      </c>
      <c r="O39" s="775"/>
      <c r="P39" s="776">
        <f>+P10+P11+P12+P13</f>
        <v>700</v>
      </c>
      <c r="Q39" s="777">
        <f t="shared" si="152"/>
        <v>6748</v>
      </c>
      <c r="R39" s="843">
        <f t="shared" si="84"/>
        <v>8.4350000000000005</v>
      </c>
      <c r="S39" s="844">
        <f>+S10+S11+S12+S13</f>
        <v>700</v>
      </c>
      <c r="T39" s="788">
        <f t="shared" si="153"/>
        <v>6048</v>
      </c>
      <c r="U39" s="843">
        <f t="shared" si="86"/>
        <v>7.56</v>
      </c>
      <c r="V39" s="782">
        <f>+V10+V11+V12+V13</f>
        <v>700</v>
      </c>
      <c r="W39" s="790">
        <f t="shared" si="154"/>
        <v>5348</v>
      </c>
      <c r="X39" s="843">
        <f t="shared" si="88"/>
        <v>6.6849999999999996</v>
      </c>
      <c r="Y39" s="844">
        <f>+Y10+Y11+Y12+Y13</f>
        <v>500</v>
      </c>
      <c r="Z39" s="788">
        <f t="shared" si="155"/>
        <v>4848</v>
      </c>
      <c r="AA39" s="843">
        <f t="shared" si="90"/>
        <v>6.06</v>
      </c>
      <c r="AB39" s="776">
        <f>+AB10+AB11+AB12+AB13</f>
        <v>0</v>
      </c>
      <c r="AC39" s="777">
        <f t="shared" si="156"/>
        <v>4848</v>
      </c>
      <c r="AD39" s="843">
        <f t="shared" si="92"/>
        <v>6.06</v>
      </c>
      <c r="AE39" s="776">
        <f>+AE10+AE11+AE12+AE13</f>
        <v>700</v>
      </c>
      <c r="AF39" s="777">
        <f t="shared" si="157"/>
        <v>4148</v>
      </c>
      <c r="AG39" s="802">
        <f t="shared" si="94"/>
        <v>5.1849999999999996</v>
      </c>
      <c r="AH39" s="776">
        <f>+AH10+AH11+AH12+AH13</f>
        <v>0</v>
      </c>
      <c r="AI39" s="777">
        <f t="shared" si="158"/>
        <v>4148</v>
      </c>
      <c r="AJ39" s="802">
        <f t="shared" si="96"/>
        <v>5.1849999999999996</v>
      </c>
      <c r="AK39" s="783">
        <f>+AK10+AK11+AK12+AK13</f>
        <v>0</v>
      </c>
      <c r="AL39" s="792">
        <f t="shared" si="159"/>
        <v>4148</v>
      </c>
      <c r="AM39" s="843">
        <f t="shared" si="98"/>
        <v>5.1849999999999996</v>
      </c>
      <c r="AN39" s="783">
        <f>+AN10+AN11+AN12+AN13</f>
        <v>0</v>
      </c>
      <c r="AO39" s="792">
        <f t="shared" si="160"/>
        <v>4148</v>
      </c>
      <c r="AP39" s="843">
        <f t="shared" si="100"/>
        <v>5.1849999999999996</v>
      </c>
      <c r="AQ39" s="783">
        <f>+AQ10+AQ11+AQ12+AQ13</f>
        <v>0</v>
      </c>
      <c r="AR39" s="792">
        <f t="shared" si="161"/>
        <v>4148</v>
      </c>
      <c r="AS39" s="843">
        <f t="shared" si="162"/>
        <v>5.1849999999999996</v>
      </c>
    </row>
    <row r="40" spans="1:45" x14ac:dyDescent="0.25">
      <c r="A40" s="841" t="s">
        <v>348</v>
      </c>
      <c r="B40" s="841" t="s">
        <v>349</v>
      </c>
      <c r="C40" s="780">
        <v>1</v>
      </c>
      <c r="D40" s="780" t="s">
        <v>253</v>
      </c>
      <c r="E40" s="780">
        <v>28</v>
      </c>
      <c r="F40" s="780" t="s">
        <v>254</v>
      </c>
      <c r="H40" s="781">
        <v>425</v>
      </c>
      <c r="I40" s="776" t="s">
        <v>253</v>
      </c>
      <c r="J40" s="771"/>
      <c r="K40" s="790">
        <f t="shared" si="143"/>
        <v>11900</v>
      </c>
      <c r="L40" s="771"/>
      <c r="M40" s="783">
        <v>895</v>
      </c>
      <c r="N40" s="784">
        <f t="shared" ref="N40" si="163">K40/M40</f>
        <v>13.296089385474861</v>
      </c>
      <c r="O40" s="775"/>
      <c r="P40" s="776">
        <f>+P6+P7+P8+P9</f>
        <v>1200</v>
      </c>
      <c r="Q40" s="777">
        <f t="shared" ref="Q40" si="164">K40-P40</f>
        <v>10700</v>
      </c>
      <c r="R40" s="843">
        <f t="shared" si="84"/>
        <v>11.955307262569832</v>
      </c>
      <c r="S40" s="844">
        <f>+S6+S7+S8+S9</f>
        <v>1200</v>
      </c>
      <c r="T40" s="788">
        <f t="shared" ref="T40" si="165">Q40-S40</f>
        <v>9500</v>
      </c>
      <c r="U40" s="843">
        <f t="shared" si="86"/>
        <v>10.614525139664805</v>
      </c>
      <c r="V40" s="782">
        <f>+V6+V7+V8+V9</f>
        <v>1200</v>
      </c>
      <c r="W40" s="790">
        <f t="shared" ref="W40" si="166">T40-V40</f>
        <v>8300</v>
      </c>
      <c r="X40" s="843">
        <f t="shared" si="88"/>
        <v>9.2737430167597772</v>
      </c>
      <c r="Y40" s="844">
        <f>+Y6+Y7+Y8+Y9</f>
        <v>1200</v>
      </c>
      <c r="Z40" s="788">
        <f t="shared" ref="Z40" si="167">W40-Y40</f>
        <v>7100</v>
      </c>
      <c r="AA40" s="843">
        <f t="shared" si="90"/>
        <v>7.9329608938547489</v>
      </c>
      <c r="AB40" s="776">
        <f>+AB6+AB7+AB8+AB9</f>
        <v>1200</v>
      </c>
      <c r="AC40" s="777">
        <f t="shared" ref="AC40" si="168">Z40-AB40</f>
        <v>5900</v>
      </c>
      <c r="AD40" s="843">
        <f t="shared" si="92"/>
        <v>6.5921787709497206</v>
      </c>
      <c r="AE40" s="776">
        <f>+AE6+AE7+AE8+AE9</f>
        <v>0</v>
      </c>
      <c r="AF40" s="777">
        <f t="shared" ref="AF40" si="169">AC40-AE40</f>
        <v>5900</v>
      </c>
      <c r="AG40" s="802">
        <f t="shared" si="94"/>
        <v>6.5921787709497206</v>
      </c>
      <c r="AH40" s="776">
        <f>+AH6+AH7+AH8+AH9</f>
        <v>0</v>
      </c>
      <c r="AI40" s="777">
        <f t="shared" ref="AI40" si="170">AF40-AH40</f>
        <v>5900</v>
      </c>
      <c r="AJ40" s="802">
        <f t="shared" si="96"/>
        <v>6.5921787709497206</v>
      </c>
      <c r="AK40" s="783">
        <f>+AK6+AK7+AK8+AK9</f>
        <v>0</v>
      </c>
      <c r="AL40" s="792">
        <f t="shared" ref="AL40" si="171">AI40-AK40</f>
        <v>5900</v>
      </c>
      <c r="AM40" s="843">
        <f t="shared" si="98"/>
        <v>6.5921787709497206</v>
      </c>
      <c r="AN40" s="783">
        <f>+AN6+AN7+AN8+AN9</f>
        <v>0</v>
      </c>
      <c r="AO40" s="792">
        <f t="shared" ref="AO40" si="172">AL40-AN40</f>
        <v>5900</v>
      </c>
      <c r="AP40" s="843">
        <f t="shared" si="100"/>
        <v>6.5921787709497206</v>
      </c>
      <c r="AQ40" s="783">
        <f>+AQ6+AQ7+AQ8+AQ9</f>
        <v>0</v>
      </c>
      <c r="AR40" s="792">
        <f t="shared" ref="AR40" si="173">AO40-AQ40</f>
        <v>5900</v>
      </c>
      <c r="AS40" s="843">
        <f t="shared" ref="AS40" si="174">AR40/M40</f>
        <v>6.5921787709497206</v>
      </c>
    </row>
    <row r="41" spans="1:45" x14ac:dyDescent="0.25">
      <c r="A41" s="841" t="s">
        <v>350</v>
      </c>
      <c r="B41" s="1054" t="s">
        <v>462</v>
      </c>
      <c r="C41" s="780">
        <v>1</v>
      </c>
      <c r="D41" s="780" t="s">
        <v>253</v>
      </c>
      <c r="E41" s="780">
        <v>28</v>
      </c>
      <c r="F41" s="780" t="s">
        <v>254</v>
      </c>
      <c r="H41" s="781">
        <v>0</v>
      </c>
      <c r="I41" s="776" t="s">
        <v>253</v>
      </c>
      <c r="J41" s="771"/>
      <c r="K41" s="790">
        <f t="shared" si="143"/>
        <v>0</v>
      </c>
      <c r="L41" s="771"/>
      <c r="M41" s="783">
        <v>0</v>
      </c>
      <c r="N41" s="784" t="e">
        <f t="shared" ref="N41" si="175">K41/M41</f>
        <v>#DIV/0!</v>
      </c>
      <c r="O41" s="775"/>
      <c r="P41" s="776"/>
      <c r="Q41" s="777"/>
      <c r="R41" s="843"/>
      <c r="S41" s="844"/>
      <c r="T41" s="788"/>
      <c r="U41" s="843"/>
      <c r="V41" s="782"/>
      <c r="W41" s="790"/>
      <c r="X41" s="843"/>
      <c r="Y41" s="844"/>
      <c r="Z41" s="788"/>
      <c r="AA41" s="843"/>
      <c r="AB41" s="776"/>
      <c r="AC41" s="777"/>
      <c r="AD41" s="843"/>
      <c r="AE41" s="776"/>
      <c r="AF41" s="777"/>
      <c r="AG41" s="802"/>
      <c r="AH41" s="776"/>
      <c r="AI41" s="777"/>
      <c r="AJ41" s="802"/>
      <c r="AK41" s="783"/>
      <c r="AL41" s="792"/>
      <c r="AM41" s="843"/>
      <c r="AN41" s="783"/>
      <c r="AO41" s="792"/>
      <c r="AP41" s="843"/>
      <c r="AQ41" s="783"/>
      <c r="AR41" s="792"/>
      <c r="AS41" s="843"/>
    </row>
    <row r="42" spans="1:45" x14ac:dyDescent="0.25">
      <c r="A42" s="838" t="s">
        <v>340</v>
      </c>
      <c r="B42" s="795"/>
      <c r="C42" s="780">
        <v>1</v>
      </c>
      <c r="D42" s="780" t="s">
        <v>253</v>
      </c>
      <c r="E42" s="780">
        <v>850</v>
      </c>
      <c r="F42" s="780" t="s">
        <v>254</v>
      </c>
      <c r="H42" s="781">
        <v>27</v>
      </c>
      <c r="I42" s="776" t="s">
        <v>253</v>
      </c>
      <c r="J42" s="771"/>
      <c r="K42" s="790">
        <f t="shared" si="143"/>
        <v>22950</v>
      </c>
      <c r="L42" s="771"/>
      <c r="M42" s="783">
        <v>2000</v>
      </c>
      <c r="N42" s="784">
        <f>K42/M42</f>
        <v>11.475</v>
      </c>
      <c r="O42" s="775"/>
      <c r="P42" s="776">
        <f>'Plan - Semanal'!$C$79</f>
        <v>1900</v>
      </c>
      <c r="Q42" s="777">
        <f t="shared" ref="Q42:Q45" si="176">K42-P42</f>
        <v>21050</v>
      </c>
      <c r="R42" s="843">
        <f t="shared" ref="R42:R47" si="177">Q42/$M42</f>
        <v>10.525</v>
      </c>
      <c r="S42" s="844">
        <f>+'Plan - Semanal'!$D$79</f>
        <v>1900</v>
      </c>
      <c r="T42" s="788">
        <f t="shared" ref="T42" si="178">Q42-S42</f>
        <v>19150</v>
      </c>
      <c r="U42" s="843">
        <f t="shared" ref="U42:U47" si="179">T42/$M42</f>
        <v>9.5749999999999993</v>
      </c>
      <c r="V42" s="782">
        <f>+'Plan - Semanal'!$E$79</f>
        <v>1900</v>
      </c>
      <c r="W42" s="790">
        <f t="shared" ref="W42" si="180">T42-V42</f>
        <v>17250</v>
      </c>
      <c r="X42" s="843">
        <f t="shared" ref="X42:X47" si="181">W42/$M42</f>
        <v>8.625</v>
      </c>
      <c r="Y42" s="844">
        <f>+'Plan - Semanal'!$F$79</f>
        <v>1900</v>
      </c>
      <c r="Z42" s="788">
        <f t="shared" ref="Z42" si="182">W42-Y42</f>
        <v>15350</v>
      </c>
      <c r="AA42" s="843">
        <f t="shared" ref="AA42:AA47" si="183">Z42/$M42</f>
        <v>7.6749999999999998</v>
      </c>
      <c r="AB42" s="776">
        <f>+'Plan - Semanal'!$G$79</f>
        <v>1900</v>
      </c>
      <c r="AC42" s="777">
        <f t="shared" ref="AC42:AC45" si="184">Z42-AB42</f>
        <v>13450</v>
      </c>
      <c r="AD42" s="843">
        <f t="shared" ref="AD42:AD47" si="185">AC42/$M42</f>
        <v>6.7249999999999996</v>
      </c>
      <c r="AE42" s="776">
        <f>+'Plan - Semanal'!$H$79</f>
        <v>700</v>
      </c>
      <c r="AF42" s="777">
        <f t="shared" ref="AF42" si="186">AC42-AE42</f>
        <v>12750</v>
      </c>
      <c r="AG42" s="802">
        <f t="shared" ref="AG42:AG47" si="187">AF42/$M42</f>
        <v>6.375</v>
      </c>
      <c r="AH42" s="776">
        <f>+'Plan - Semanal'!$I$79</f>
        <v>0</v>
      </c>
      <c r="AI42" s="777">
        <f t="shared" ref="AI42:AI45" si="188">AF42-AH42</f>
        <v>12750</v>
      </c>
      <c r="AJ42" s="802">
        <f t="shared" ref="AJ42:AJ47" si="189">AI42/$M42</f>
        <v>6.375</v>
      </c>
      <c r="AK42" s="783">
        <f>+'Plan - Semanal'!$M$79</f>
        <v>0</v>
      </c>
      <c r="AL42" s="792">
        <f t="shared" ref="AL42:AL45" si="190">AI42-AK42</f>
        <v>12750</v>
      </c>
      <c r="AM42" s="843">
        <f t="shared" ref="AM42:AM47" si="191">AL42/$M42</f>
        <v>6.375</v>
      </c>
      <c r="AN42" s="783">
        <f>+'Plan - Semanal'!$N$79</f>
        <v>0</v>
      </c>
      <c r="AO42" s="792">
        <f t="shared" ref="AO42" si="192">AL42-AN42</f>
        <v>12750</v>
      </c>
      <c r="AP42" s="843">
        <f t="shared" ref="AP42:AP47" si="193">AO42/$M42</f>
        <v>6.375</v>
      </c>
      <c r="AQ42" s="783">
        <f>+'Plan - Semanal'!$O$79</f>
        <v>0</v>
      </c>
      <c r="AR42" s="792">
        <f t="shared" ref="AR42" si="194">AO42-AQ42</f>
        <v>12750</v>
      </c>
      <c r="AS42" s="843">
        <f t="shared" ref="AS42" si="195">AR42/M42</f>
        <v>6.375</v>
      </c>
    </row>
    <row r="43" spans="1:45" x14ac:dyDescent="0.25">
      <c r="A43" s="841" t="s">
        <v>344</v>
      </c>
      <c r="B43" s="840" t="s">
        <v>345</v>
      </c>
      <c r="C43" s="780">
        <v>1000</v>
      </c>
      <c r="D43" s="780" t="s">
        <v>284</v>
      </c>
      <c r="E43" s="794">
        <v>1000</v>
      </c>
      <c r="F43" s="780" t="s">
        <v>254</v>
      </c>
      <c r="H43" s="781">
        <v>3185</v>
      </c>
      <c r="I43" s="776" t="s">
        <v>284</v>
      </c>
      <c r="J43" s="771"/>
      <c r="K43" s="790">
        <f t="shared" si="143"/>
        <v>3185</v>
      </c>
      <c r="L43" s="771"/>
      <c r="M43" s="783">
        <v>0</v>
      </c>
      <c r="N43" s="784" t="e">
        <f t="shared" ref="N43" si="196">K43/M43</f>
        <v>#DIV/0!</v>
      </c>
      <c r="O43" s="775"/>
      <c r="P43" s="776">
        <f>+'Plan - Semanal'!C49+'Plan - Semanal'!C50+'Plan - Semanal'!C51+'Plan - Semanal'!C52</f>
        <v>0</v>
      </c>
      <c r="Q43" s="777">
        <f t="shared" ref="Q43" si="197">K43-P43</f>
        <v>3185</v>
      </c>
      <c r="R43" s="843" t="e">
        <f t="shared" si="177"/>
        <v>#DIV/0!</v>
      </c>
      <c r="S43" s="844">
        <f>+'Plan - Semanal'!D49+'Plan - Semanal'!D50+'Plan - Semanal'!D51+'Plan - Semanal'!D52</f>
        <v>0</v>
      </c>
      <c r="T43" s="788">
        <f t="shared" ref="T43" si="198">Q43-S43</f>
        <v>3185</v>
      </c>
      <c r="U43" s="843" t="e">
        <f t="shared" si="179"/>
        <v>#DIV/0!</v>
      </c>
      <c r="V43" s="782">
        <f>+'Plan - Semanal'!E49+'Plan - Semanal'!E50+'Plan - Semanal'!E51+'Plan - Semanal'!E52</f>
        <v>0</v>
      </c>
      <c r="W43" s="790">
        <f t="shared" ref="W43" si="199">T43-V43</f>
        <v>3185</v>
      </c>
      <c r="X43" s="843" t="e">
        <f t="shared" si="181"/>
        <v>#DIV/0!</v>
      </c>
      <c r="Y43" s="844">
        <f>+'Plan - Semanal'!F49+'Plan - Semanal'!F50+'Plan - Semanal'!F51+'Plan - Semanal'!F52</f>
        <v>0</v>
      </c>
      <c r="Z43" s="788">
        <f t="shared" ref="Z43" si="200">W43-Y43</f>
        <v>3185</v>
      </c>
      <c r="AA43" s="843" t="e">
        <f t="shared" si="183"/>
        <v>#DIV/0!</v>
      </c>
      <c r="AB43" s="776">
        <f>+'Plan - Semanal'!G49+'Plan - Semanal'!G50+'Plan - Semanal'!G51+'Plan - Semanal'!G52</f>
        <v>0</v>
      </c>
      <c r="AC43" s="777">
        <f t="shared" ref="AC43" si="201">Z43-AB43</f>
        <v>3185</v>
      </c>
      <c r="AD43" s="843" t="e">
        <f t="shared" si="185"/>
        <v>#DIV/0!</v>
      </c>
      <c r="AE43" s="776">
        <f>+'Plan - Semanal'!H49+'Plan - Semanal'!H50+'Plan - Semanal'!H51+'Plan - Semanal'!H52</f>
        <v>0</v>
      </c>
      <c r="AF43" s="777">
        <f t="shared" ref="AF43" si="202">AC43-AE43</f>
        <v>3185</v>
      </c>
      <c r="AG43" s="802" t="e">
        <f t="shared" si="187"/>
        <v>#DIV/0!</v>
      </c>
      <c r="AH43" s="776">
        <f>+'Plan - Semanal'!I49+'Plan - Semanal'!I50+'Plan - Semanal'!I51+'Plan - Semanal'!I52</f>
        <v>0</v>
      </c>
      <c r="AI43" s="777">
        <f t="shared" ref="AI43" si="203">AF43-AH43</f>
        <v>3185</v>
      </c>
      <c r="AJ43" s="802" t="e">
        <f t="shared" si="189"/>
        <v>#DIV/0!</v>
      </c>
      <c r="AK43" s="783">
        <f>+'Plan - Semanal'!M49+'Plan - Semanal'!M50+'Plan - Semanal'!M51+'Plan - Semanal'!M52</f>
        <v>0</v>
      </c>
      <c r="AL43" s="792">
        <f t="shared" ref="AL43" si="204">AI43-AK43</f>
        <v>3185</v>
      </c>
      <c r="AM43" s="843" t="e">
        <f t="shared" si="191"/>
        <v>#DIV/0!</v>
      </c>
      <c r="AN43" s="783">
        <f>+'Plan - Semanal'!N49+'Plan - Semanal'!N50+'Plan - Semanal'!N51+'Plan - Semanal'!N52</f>
        <v>0</v>
      </c>
      <c r="AO43" s="792">
        <f t="shared" ref="AO43" si="205">AL43-AN43</f>
        <v>3185</v>
      </c>
      <c r="AP43" s="843" t="e">
        <f t="shared" si="193"/>
        <v>#DIV/0!</v>
      </c>
      <c r="AQ43" s="783">
        <f>+'Plan - Semanal'!O49+'Plan - Semanal'!O50+'Plan - Semanal'!O51+'Plan - Semanal'!O52</f>
        <v>0</v>
      </c>
      <c r="AR43" s="792">
        <f t="shared" ref="AR43" si="206">AO43-AQ43</f>
        <v>3185</v>
      </c>
      <c r="AS43" s="843" t="e">
        <f t="shared" ref="AS43" si="207">AR43/M43</f>
        <v>#DIV/0!</v>
      </c>
    </row>
    <row r="44" spans="1:45" x14ac:dyDescent="0.25">
      <c r="A44" s="831" t="s">
        <v>326</v>
      </c>
      <c r="B44" s="830" t="s">
        <v>327</v>
      </c>
      <c r="C44" s="780">
        <v>1000</v>
      </c>
      <c r="D44" s="780" t="s">
        <v>284</v>
      </c>
      <c r="E44" s="794">
        <v>1000</v>
      </c>
      <c r="F44" s="780" t="s">
        <v>254</v>
      </c>
      <c r="H44" s="781">
        <v>5450</v>
      </c>
      <c r="I44" s="776" t="s">
        <v>284</v>
      </c>
      <c r="J44" s="771"/>
      <c r="K44" s="790">
        <f t="shared" ref="K44:K45" si="208">(H44*E44)/C44</f>
        <v>5450</v>
      </c>
      <c r="L44" s="771"/>
      <c r="M44" s="783">
        <v>0</v>
      </c>
      <c r="N44" s="784" t="e">
        <f t="shared" ref="N44:N45" si="209">K44/M44</f>
        <v>#DIV/0!</v>
      </c>
      <c r="O44" s="775"/>
      <c r="P44" s="776">
        <f>+'Plan - Semanal'!$C$33+'Plan - Semanal'!$C$34+'Plan - Semanal'!$C$35+'Plan - Semanal'!$C$36</f>
        <v>0</v>
      </c>
      <c r="Q44" s="777">
        <f t="shared" si="176"/>
        <v>5450</v>
      </c>
      <c r="R44" s="843" t="e">
        <f t="shared" si="177"/>
        <v>#DIV/0!</v>
      </c>
      <c r="S44" s="844">
        <f>+'Plan - Semanal'!$D$33+'Plan - Semanal'!$D$34+'Plan - Semanal'!$D$35+'Plan - Semanal'!$D$36</f>
        <v>0</v>
      </c>
      <c r="T44" s="788">
        <f t="shared" ref="T44:T45" si="210">Q44-S44</f>
        <v>5450</v>
      </c>
      <c r="U44" s="843" t="e">
        <f t="shared" si="179"/>
        <v>#DIV/0!</v>
      </c>
      <c r="V44" s="782">
        <f>+'Plan - Semanal'!$E$33+'Plan - Semanal'!$E$34+'Plan - Semanal'!$E$35+'Plan - Semanal'!$E$36</f>
        <v>0</v>
      </c>
      <c r="W44" s="790">
        <f t="shared" ref="W44:W45" si="211">T44-V44</f>
        <v>5450</v>
      </c>
      <c r="X44" s="843" t="e">
        <f t="shared" si="181"/>
        <v>#DIV/0!</v>
      </c>
      <c r="Y44" s="844">
        <f>+'Plan - Semanal'!$F$33+'Plan - Semanal'!$F$34+'Plan - Semanal'!$F$35+'Plan - Semanal'!$F$36</f>
        <v>0</v>
      </c>
      <c r="Z44" s="788">
        <f t="shared" ref="Z44:Z45" si="212">W44-Y44</f>
        <v>5450</v>
      </c>
      <c r="AA44" s="843" t="e">
        <f t="shared" si="183"/>
        <v>#DIV/0!</v>
      </c>
      <c r="AB44" s="776">
        <f>+'Plan - Semanal'!$G$33+'Plan - Semanal'!$G$34+'Plan - Semanal'!$G$35+'Plan - Semanal'!$G$36</f>
        <v>0</v>
      </c>
      <c r="AC44" s="777">
        <f t="shared" si="184"/>
        <v>5450</v>
      </c>
      <c r="AD44" s="843" t="e">
        <f t="shared" si="185"/>
        <v>#DIV/0!</v>
      </c>
      <c r="AE44" s="776">
        <f>+'Plan - Semanal'!$H$33+'Plan - Semanal'!$H$34+'Plan - Semanal'!$H$35+'Plan - Semanal'!$H$36</f>
        <v>0</v>
      </c>
      <c r="AF44" s="777">
        <f t="shared" ref="AF44:AF45" si="213">AC44-AE44</f>
        <v>5450</v>
      </c>
      <c r="AG44" s="802" t="e">
        <f t="shared" si="187"/>
        <v>#DIV/0!</v>
      </c>
      <c r="AH44" s="776">
        <f>+'Plan - Semanal'!$I$33+'Plan - Semanal'!$I$34+'Plan - Semanal'!$I$35+'Plan - Semanal'!$I$36</f>
        <v>0</v>
      </c>
      <c r="AI44" s="777">
        <f t="shared" si="188"/>
        <v>5450</v>
      </c>
      <c r="AJ44" s="802" t="e">
        <f t="shared" si="189"/>
        <v>#DIV/0!</v>
      </c>
      <c r="AK44" s="783">
        <f>+'Plan - Semanal'!$M$33+'Plan - Semanal'!$M$34+'Plan - Semanal'!$M$35+'Plan - Semanal'!$M$36</f>
        <v>0</v>
      </c>
      <c r="AL44" s="792">
        <f t="shared" si="190"/>
        <v>5450</v>
      </c>
      <c r="AM44" s="843" t="e">
        <f t="shared" si="191"/>
        <v>#DIV/0!</v>
      </c>
      <c r="AN44" s="783">
        <f>+'Plan - Semanal'!$N$33+'Plan - Semanal'!$N$34+'Plan - Semanal'!$N$35+'Plan - Semanal'!$N$36</f>
        <v>0</v>
      </c>
      <c r="AO44" s="792">
        <f t="shared" ref="AO44:AO45" si="214">AL44-AN44</f>
        <v>5450</v>
      </c>
      <c r="AP44" s="843" t="e">
        <f t="shared" si="193"/>
        <v>#DIV/0!</v>
      </c>
      <c r="AQ44" s="783">
        <f>+'Plan - Semanal'!$O$33+'Plan - Semanal'!$O$34+'Plan - Semanal'!$O$35+'Plan - Semanal'!$O$36</f>
        <v>0</v>
      </c>
      <c r="AR44" s="792">
        <f t="shared" ref="AR44:AR45" si="215">AO44-AQ44</f>
        <v>5450</v>
      </c>
      <c r="AS44" s="843" t="e">
        <f t="shared" ref="AS44:AS45" si="216">AR44/M44</f>
        <v>#DIV/0!</v>
      </c>
    </row>
    <row r="45" spans="1:45" x14ac:dyDescent="0.25">
      <c r="A45" s="795" t="s">
        <v>285</v>
      </c>
      <c r="B45" s="779" t="s">
        <v>286</v>
      </c>
      <c r="C45" s="780">
        <v>750</v>
      </c>
      <c r="D45" s="780" t="s">
        <v>284</v>
      </c>
      <c r="E45" s="794">
        <v>750</v>
      </c>
      <c r="F45" s="780" t="s">
        <v>254</v>
      </c>
      <c r="H45" s="781">
        <v>300</v>
      </c>
      <c r="I45" s="776" t="s">
        <v>284</v>
      </c>
      <c r="J45" s="771"/>
      <c r="K45" s="790">
        <f t="shared" si="208"/>
        <v>300</v>
      </c>
      <c r="L45" s="771"/>
      <c r="M45" s="783">
        <v>25</v>
      </c>
      <c r="N45" s="784">
        <f t="shared" si="209"/>
        <v>12</v>
      </c>
      <c r="O45" s="775"/>
      <c r="P45" s="776">
        <f>+'Plan - Semanal'!$C$45+'Plan - Semanal'!$C$46+'Plan - Semanal'!$C$47+'Plan - Semanal'!$C$48</f>
        <v>0</v>
      </c>
      <c r="Q45" s="777">
        <f t="shared" si="176"/>
        <v>300</v>
      </c>
      <c r="R45" s="843">
        <f t="shared" si="177"/>
        <v>12</v>
      </c>
      <c r="S45" s="844">
        <f>+'Plan - Semanal'!$D$45+'Plan - Semanal'!$D$46+'Plan - Semanal'!$D$47+'Plan - Semanal'!$D$48</f>
        <v>0</v>
      </c>
      <c r="T45" s="788">
        <f t="shared" si="210"/>
        <v>300</v>
      </c>
      <c r="U45" s="843">
        <f t="shared" si="179"/>
        <v>12</v>
      </c>
      <c r="V45" s="782">
        <f>+'Plan - Semanal'!$E$45+'Plan - Semanal'!$E$46+'Plan - Semanal'!$E$47+'Plan - Semanal'!$E$48</f>
        <v>0</v>
      </c>
      <c r="W45" s="790">
        <f t="shared" si="211"/>
        <v>300</v>
      </c>
      <c r="X45" s="843">
        <f t="shared" si="181"/>
        <v>12</v>
      </c>
      <c r="Y45" s="844">
        <f>+'Plan - Semanal'!$F$45+'Plan - Semanal'!$F$46+'Plan - Semanal'!$F$47+'Plan - Semanal'!$F$48</f>
        <v>0</v>
      </c>
      <c r="Z45" s="788">
        <f t="shared" si="212"/>
        <v>300</v>
      </c>
      <c r="AA45" s="843">
        <f t="shared" si="183"/>
        <v>12</v>
      </c>
      <c r="AB45" s="776">
        <f>+'Plan - Semanal'!$G$45+'Plan - Semanal'!$G$46+'Plan - Semanal'!$G$47+'Plan - Semanal'!$G$48</f>
        <v>0</v>
      </c>
      <c r="AC45" s="777">
        <f t="shared" si="184"/>
        <v>300</v>
      </c>
      <c r="AD45" s="843">
        <f t="shared" si="185"/>
        <v>12</v>
      </c>
      <c r="AE45" s="776">
        <f>+'Plan - Semanal'!$H$45+'Plan - Semanal'!$H$46+'Plan - Semanal'!$H$47+'Plan - Semanal'!$H$48</f>
        <v>0</v>
      </c>
      <c r="AF45" s="777">
        <f t="shared" si="213"/>
        <v>300</v>
      </c>
      <c r="AG45" s="802">
        <f t="shared" si="187"/>
        <v>12</v>
      </c>
      <c r="AH45" s="776">
        <f>+'Plan - Semanal'!$I$45+'Plan - Semanal'!$I$46+'Plan - Semanal'!$I$47+'Plan - Semanal'!$I$48</f>
        <v>0</v>
      </c>
      <c r="AI45" s="777">
        <f t="shared" si="188"/>
        <v>300</v>
      </c>
      <c r="AJ45" s="802">
        <f t="shared" si="189"/>
        <v>12</v>
      </c>
      <c r="AK45" s="783">
        <f>+'Plan - Semanal'!$M$45+'Plan - Semanal'!$M$46+'Plan - Semanal'!$M$47+'Plan - Semanal'!$M$48</f>
        <v>0</v>
      </c>
      <c r="AL45" s="792">
        <f t="shared" si="190"/>
        <v>300</v>
      </c>
      <c r="AM45" s="843">
        <f t="shared" si="191"/>
        <v>12</v>
      </c>
      <c r="AN45" s="783">
        <f>+'Plan - Semanal'!$N$45+'Plan - Semanal'!$N$46+'Plan - Semanal'!$N$47+'Plan - Semanal'!$N$48</f>
        <v>0</v>
      </c>
      <c r="AO45" s="792">
        <f t="shared" si="214"/>
        <v>300</v>
      </c>
      <c r="AP45" s="843">
        <f t="shared" si="193"/>
        <v>12</v>
      </c>
      <c r="AQ45" s="783">
        <f>+'Plan - Semanal'!$O$45+'Plan - Semanal'!$O$46+'Plan - Semanal'!$O$47+'Plan - Semanal'!$O$48</f>
        <v>0</v>
      </c>
      <c r="AR45" s="792">
        <f t="shared" si="215"/>
        <v>300</v>
      </c>
      <c r="AS45" s="843">
        <f t="shared" si="216"/>
        <v>12</v>
      </c>
    </row>
    <row r="46" spans="1:45" x14ac:dyDescent="0.25">
      <c r="A46" s="1049" t="s">
        <v>442</v>
      </c>
      <c r="B46" s="1050" t="s">
        <v>444</v>
      </c>
      <c r="C46" s="780">
        <v>750</v>
      </c>
      <c r="D46" s="780" t="s">
        <v>284</v>
      </c>
      <c r="E46" s="794">
        <v>750</v>
      </c>
      <c r="F46" s="780" t="s">
        <v>254</v>
      </c>
      <c r="H46" s="781">
        <v>15975</v>
      </c>
      <c r="I46" s="776" t="s">
        <v>284</v>
      </c>
      <c r="J46" s="771"/>
      <c r="K46" s="790">
        <f t="shared" ref="K46:K47" si="217">(H46*E46)/C46</f>
        <v>15975</v>
      </c>
      <c r="L46" s="771"/>
      <c r="M46" s="783">
        <v>800</v>
      </c>
      <c r="N46" s="784">
        <f t="shared" ref="N46:N47" si="218">K46/M46</f>
        <v>19.96875</v>
      </c>
      <c r="O46" s="775"/>
      <c r="P46" s="776">
        <f>+'Plan - Semanal'!$C$57+'Plan - Semanal'!$C$58+'Plan - Semanal'!$C$59+'Plan - Semanal'!$C$60</f>
        <v>0</v>
      </c>
      <c r="Q46" s="777">
        <f t="shared" ref="Q46:Q47" si="219">K46-P46</f>
        <v>15975</v>
      </c>
      <c r="R46" s="843">
        <f t="shared" si="177"/>
        <v>19.96875</v>
      </c>
      <c r="S46" s="844">
        <f>+'Plan - Semanal'!$D$57+'Plan - Semanal'!$D$58+'Plan - Semanal'!$D$59+'Plan - Semanal'!$D$60</f>
        <v>0</v>
      </c>
      <c r="T46" s="788">
        <f t="shared" ref="T46:T47" si="220">Q46-S46</f>
        <v>15975</v>
      </c>
      <c r="U46" s="843">
        <f t="shared" si="179"/>
        <v>19.96875</v>
      </c>
      <c r="V46" s="782">
        <f>+'Plan - Semanal'!$D$57+'Plan - Semanal'!$D$58+'Plan - Semanal'!$D$59+'Plan - Semanal'!$D$60</f>
        <v>0</v>
      </c>
      <c r="W46" s="790">
        <f t="shared" ref="W46:W47" si="221">T46-V46</f>
        <v>15975</v>
      </c>
      <c r="X46" s="843">
        <f t="shared" si="181"/>
        <v>19.96875</v>
      </c>
      <c r="Y46" s="844">
        <f>+'Plan - Semanal'!$F$57+'Plan - Semanal'!$F$58+'Plan - Semanal'!$F$59+'Plan - Semanal'!$F$60</f>
        <v>0</v>
      </c>
      <c r="Z46" s="788">
        <f t="shared" ref="Z46:Z47" si="222">W46-Y46</f>
        <v>15975</v>
      </c>
      <c r="AA46" s="843">
        <f t="shared" si="183"/>
        <v>19.96875</v>
      </c>
      <c r="AB46" s="776">
        <f>+'Plan - Semanal'!$G$57+'Plan - Semanal'!$G$58+'Plan - Semanal'!$G$59+'Plan - Semanal'!$G$60</f>
        <v>0</v>
      </c>
      <c r="AC46" s="777">
        <f t="shared" ref="AC46:AC47" si="223">Z46-AB46</f>
        <v>15975</v>
      </c>
      <c r="AD46" s="843">
        <f t="shared" si="185"/>
        <v>19.96875</v>
      </c>
      <c r="AE46" s="776">
        <f>+'Plan - Semanal'!$H$57+'Plan - Semanal'!$H$58+'Plan - Semanal'!$H$59+'Plan - Semanal'!$H$60</f>
        <v>0</v>
      </c>
      <c r="AF46" s="777">
        <f t="shared" ref="AF46:AF47" si="224">AC46-AE46</f>
        <v>15975</v>
      </c>
      <c r="AG46" s="802">
        <f t="shared" si="187"/>
        <v>19.96875</v>
      </c>
      <c r="AH46" s="776">
        <f>+'Plan - Semanal'!$I$57+'Plan - Semanal'!$I$58+'Plan - Semanal'!$I$59+'Plan - Semanal'!$I$60</f>
        <v>0</v>
      </c>
      <c r="AI46" s="777">
        <f t="shared" ref="AI46:AI47" si="225">AF46-AH46</f>
        <v>15975</v>
      </c>
      <c r="AJ46" s="802">
        <f t="shared" si="189"/>
        <v>19.96875</v>
      </c>
      <c r="AK46" s="783">
        <f>+'Plan - Semanal'!$M$57+'Plan - Semanal'!$M$58+'Plan - Semanal'!$M$59+'Plan - Semanal'!$M$60</f>
        <v>0</v>
      </c>
      <c r="AL46" s="792">
        <f t="shared" ref="AL46:AL47" si="226">AI46-AK46</f>
        <v>15975</v>
      </c>
      <c r="AM46" s="843">
        <f t="shared" si="191"/>
        <v>19.96875</v>
      </c>
      <c r="AN46" s="783">
        <f>+'Plan - Semanal'!$N$57+'Plan - Semanal'!$N$58+'Plan - Semanal'!$N$59+'Plan - Semanal'!$N$60</f>
        <v>0</v>
      </c>
      <c r="AO46" s="792">
        <f t="shared" ref="AO46:AO47" si="227">AL46-AN46</f>
        <v>15975</v>
      </c>
      <c r="AP46" s="843">
        <f t="shared" si="193"/>
        <v>19.96875</v>
      </c>
      <c r="AQ46" s="783">
        <f>+'Plan - Semanal'!$O$57+'Plan - Semanal'!$O$58+'Plan - Semanal'!$O$59+'Plan - Semanal'!$O$60</f>
        <v>0</v>
      </c>
      <c r="AR46" s="792">
        <f t="shared" ref="AR46:AR47" si="228">AO46-AQ46</f>
        <v>15975</v>
      </c>
      <c r="AS46" s="843">
        <f t="shared" ref="AS46:AS47" si="229">AR46/M46</f>
        <v>19.96875</v>
      </c>
    </row>
    <row r="47" spans="1:45" x14ac:dyDescent="0.25">
      <c r="A47" s="1049" t="s">
        <v>443</v>
      </c>
      <c r="B47" s="1050" t="s">
        <v>445</v>
      </c>
      <c r="C47" s="780">
        <v>1000</v>
      </c>
      <c r="D47" s="780" t="s">
        <v>284</v>
      </c>
      <c r="E47" s="794">
        <v>750</v>
      </c>
      <c r="F47" s="780" t="s">
        <v>254</v>
      </c>
      <c r="H47" s="781">
        <v>12300</v>
      </c>
      <c r="I47" s="776" t="s">
        <v>284</v>
      </c>
      <c r="J47" s="771"/>
      <c r="K47" s="790">
        <f t="shared" si="217"/>
        <v>9225</v>
      </c>
      <c r="L47" s="771"/>
      <c r="M47" s="783">
        <v>1200</v>
      </c>
      <c r="N47" s="784">
        <f t="shared" si="218"/>
        <v>7.6875</v>
      </c>
      <c r="O47" s="775"/>
      <c r="P47" s="776">
        <f>+'Plan - Semanal'!$C$61+'Plan - Semanal'!$C$62+'Plan - Semanal'!$C$63+'Plan - Semanal'!$C$64</f>
        <v>0</v>
      </c>
      <c r="Q47" s="777">
        <f t="shared" si="219"/>
        <v>9225</v>
      </c>
      <c r="R47" s="843">
        <f t="shared" si="177"/>
        <v>7.6875</v>
      </c>
      <c r="S47" s="844">
        <f>+'Plan - Semanal'!$D$61+'Plan - Semanal'!$D$62+'Plan - Semanal'!$D$63+'Plan - Semanal'!$D$64</f>
        <v>0</v>
      </c>
      <c r="T47" s="788">
        <f t="shared" si="220"/>
        <v>9225</v>
      </c>
      <c r="U47" s="843">
        <f t="shared" si="179"/>
        <v>7.6875</v>
      </c>
      <c r="V47" s="782">
        <f>+'Plan - Semanal'!$E$61+'Plan - Semanal'!$E$62+'Plan - Semanal'!$E$63+'Plan - Semanal'!$E$64</f>
        <v>0</v>
      </c>
      <c r="W47" s="790">
        <f t="shared" si="221"/>
        <v>9225</v>
      </c>
      <c r="X47" s="843">
        <f t="shared" si="181"/>
        <v>7.6875</v>
      </c>
      <c r="Y47" s="844">
        <f>+'Plan - Semanal'!$F$61+'Plan - Semanal'!$F$62+'Plan - Semanal'!$F$63+'Plan - Semanal'!$F$64</f>
        <v>200</v>
      </c>
      <c r="Z47" s="788">
        <f t="shared" si="222"/>
        <v>9025</v>
      </c>
      <c r="AA47" s="843">
        <f t="shared" si="183"/>
        <v>7.520833333333333</v>
      </c>
      <c r="AB47" s="776">
        <f>+'Plan - Semanal'!$G$61+'Plan - Semanal'!$G$62+'Plan - Semanal'!$G$63+'Plan - Semanal'!$G$64</f>
        <v>0</v>
      </c>
      <c r="AC47" s="777">
        <f t="shared" si="223"/>
        <v>9025</v>
      </c>
      <c r="AD47" s="843">
        <f t="shared" si="185"/>
        <v>7.520833333333333</v>
      </c>
      <c r="AE47" s="776">
        <f>+'Plan - Semanal'!$H$61+'Plan - Semanal'!$H$62+'Plan - Semanal'!$H$63+'Plan - Semanal'!$H$64</f>
        <v>0</v>
      </c>
      <c r="AF47" s="777">
        <f t="shared" si="224"/>
        <v>9025</v>
      </c>
      <c r="AG47" s="802">
        <f t="shared" si="187"/>
        <v>7.520833333333333</v>
      </c>
      <c r="AH47" s="776">
        <f>+'Plan - Semanal'!$I$61+'Plan - Semanal'!$I$62+'Plan - Semanal'!$I$63+'Plan - Semanal'!$I$64</f>
        <v>0</v>
      </c>
      <c r="AI47" s="777">
        <f t="shared" si="225"/>
        <v>9025</v>
      </c>
      <c r="AJ47" s="802">
        <f t="shared" si="189"/>
        <v>7.520833333333333</v>
      </c>
      <c r="AK47" s="783">
        <f>+'Plan - Semanal'!$M$61+'Plan - Semanal'!$M$62+'Plan - Semanal'!$M$63+'Plan - Semanal'!$M$64</f>
        <v>0</v>
      </c>
      <c r="AL47" s="792">
        <f t="shared" si="226"/>
        <v>9025</v>
      </c>
      <c r="AM47" s="843">
        <f t="shared" si="191"/>
        <v>7.520833333333333</v>
      </c>
      <c r="AN47" s="783">
        <f>+'Plan - Semanal'!$N$61+'Plan - Semanal'!$N$62+'Plan - Semanal'!$N$63+'Plan - Semanal'!$N$64</f>
        <v>0</v>
      </c>
      <c r="AO47" s="792">
        <f t="shared" si="227"/>
        <v>9025</v>
      </c>
      <c r="AP47" s="843">
        <f t="shared" si="193"/>
        <v>7.520833333333333</v>
      </c>
      <c r="AQ47" s="783">
        <f>+'Plan - Semanal'!$O$61+'Plan - Semanal'!$O$62+'Plan - Semanal'!$O$63+'Plan - Semanal'!$O$64</f>
        <v>0</v>
      </c>
      <c r="AR47" s="792">
        <f t="shared" si="228"/>
        <v>9025</v>
      </c>
      <c r="AS47" s="843">
        <f t="shared" si="229"/>
        <v>7.520833333333333</v>
      </c>
    </row>
    <row r="48" spans="1:45" x14ac:dyDescent="0.25">
      <c r="A48" s="841" t="s">
        <v>351</v>
      </c>
      <c r="B48" s="840" t="s">
        <v>352</v>
      </c>
      <c r="C48" s="780">
        <v>450</v>
      </c>
      <c r="D48" s="780" t="s">
        <v>284</v>
      </c>
      <c r="E48" s="794">
        <v>750</v>
      </c>
      <c r="F48" s="780" t="s">
        <v>254</v>
      </c>
      <c r="H48" s="781">
        <v>1925</v>
      </c>
      <c r="I48" s="776" t="s">
        <v>284</v>
      </c>
      <c r="J48" s="771"/>
      <c r="K48" s="790">
        <f>(H48*E48)/C48</f>
        <v>3208.3333333333335</v>
      </c>
      <c r="L48" s="771"/>
      <c r="M48" s="783"/>
      <c r="N48" s="784" t="e">
        <f t="shared" ref="N48" si="230">K48/M48</f>
        <v>#DIV/0!</v>
      </c>
      <c r="O48" s="775"/>
      <c r="P48" s="776"/>
      <c r="Q48" s="777"/>
      <c r="R48" s="843"/>
      <c r="S48" s="844"/>
      <c r="T48" s="788"/>
      <c r="U48" s="843"/>
      <c r="V48" s="782"/>
      <c r="W48" s="790"/>
      <c r="X48" s="843"/>
      <c r="Y48" s="844"/>
      <c r="Z48" s="788"/>
      <c r="AA48" s="843"/>
      <c r="AB48" s="776"/>
      <c r="AC48" s="777"/>
      <c r="AD48" s="843"/>
      <c r="AE48" s="776"/>
      <c r="AF48" s="777"/>
      <c r="AG48" s="802"/>
      <c r="AH48" s="776"/>
      <c r="AI48" s="777"/>
      <c r="AJ48" s="802"/>
      <c r="AK48" s="783"/>
      <c r="AL48" s="792"/>
      <c r="AM48" s="843"/>
      <c r="AN48" s="783"/>
      <c r="AO48" s="792"/>
      <c r="AP48" s="843"/>
      <c r="AQ48" s="783"/>
      <c r="AR48" s="792"/>
      <c r="AS48" s="843"/>
    </row>
    <row r="49" spans="1:45" x14ac:dyDescent="0.25">
      <c r="A49" s="1047" t="s">
        <v>394</v>
      </c>
      <c r="B49" s="946" t="s">
        <v>395</v>
      </c>
      <c r="C49" s="780">
        <v>1000</v>
      </c>
      <c r="D49" s="780" t="s">
        <v>284</v>
      </c>
      <c r="E49" s="794">
        <v>750</v>
      </c>
      <c r="F49" s="780" t="s">
        <v>254</v>
      </c>
      <c r="H49" s="781">
        <v>1100</v>
      </c>
      <c r="I49" s="776" t="s">
        <v>284</v>
      </c>
      <c r="J49" s="771"/>
      <c r="K49" s="790">
        <f t="shared" ref="K49" si="231">(H49*E49)/C49</f>
        <v>825</v>
      </c>
      <c r="L49" s="771"/>
      <c r="M49" s="783"/>
      <c r="N49" s="784" t="e">
        <f t="shared" ref="N49" si="232">K49/M49</f>
        <v>#DIV/0!</v>
      </c>
      <c r="O49" s="775"/>
      <c r="P49" s="776"/>
      <c r="Q49" s="777"/>
      <c r="R49" s="843"/>
      <c r="S49" s="844"/>
      <c r="T49" s="788"/>
      <c r="U49" s="843"/>
      <c r="V49" s="782"/>
      <c r="W49" s="790"/>
      <c r="X49" s="843"/>
      <c r="Y49" s="844"/>
      <c r="Z49" s="788"/>
      <c r="AA49" s="843"/>
      <c r="AB49" s="776"/>
      <c r="AC49" s="777"/>
      <c r="AD49" s="843"/>
      <c r="AE49" s="776"/>
      <c r="AF49" s="777"/>
      <c r="AG49" s="802"/>
      <c r="AH49" s="776"/>
      <c r="AI49" s="777"/>
      <c r="AJ49" s="802"/>
      <c r="AK49" s="783"/>
      <c r="AL49" s="792"/>
      <c r="AM49" s="843"/>
      <c r="AN49" s="783"/>
      <c r="AO49" s="792"/>
      <c r="AP49" s="843"/>
      <c r="AQ49" s="783"/>
      <c r="AR49" s="792"/>
      <c r="AS49" s="843"/>
    </row>
    <row r="50" spans="1:45" x14ac:dyDescent="0.25">
      <c r="A50" s="831" t="s">
        <v>328</v>
      </c>
      <c r="B50" s="830" t="s">
        <v>329</v>
      </c>
      <c r="C50" s="780">
        <v>1</v>
      </c>
      <c r="D50" s="780" t="s">
        <v>284</v>
      </c>
      <c r="E50" s="794">
        <v>29</v>
      </c>
      <c r="F50" s="780" t="s">
        <v>254</v>
      </c>
      <c r="H50" s="781">
        <v>280</v>
      </c>
      <c r="I50" s="776" t="s">
        <v>284</v>
      </c>
      <c r="K50" s="790">
        <f t="shared" ref="K50:K55" si="233">(H50*E50)/C50</f>
        <v>8120</v>
      </c>
      <c r="M50" s="783">
        <v>2000</v>
      </c>
      <c r="N50" s="784">
        <f t="shared" ref="N50:N55" si="234">K50/M50</f>
        <v>4.0599999999999996</v>
      </c>
      <c r="P50" s="776">
        <f>+'Plan - Semanal'!C74+'Plan - Semanal'!C76</f>
        <v>1900</v>
      </c>
      <c r="Q50" s="777">
        <f t="shared" ref="Q50:Q55" si="235">K50-P50</f>
        <v>6220</v>
      </c>
      <c r="R50" s="843">
        <f t="shared" ref="R50:R63" si="236">Q50/$M50</f>
        <v>3.11</v>
      </c>
      <c r="S50" s="844">
        <f>+'Plan - Semanal'!D74+'Plan - Semanal'!D76</f>
        <v>1900</v>
      </c>
      <c r="T50" s="788">
        <f t="shared" ref="T50:T55" si="237">Q50-S50</f>
        <v>4320</v>
      </c>
      <c r="U50" s="843">
        <f t="shared" ref="U50:U63" si="238">T50/$M50</f>
        <v>2.16</v>
      </c>
      <c r="V50" s="782">
        <f>+'Plan - Semanal'!E74+'Plan - Semanal'!E76</f>
        <v>1900</v>
      </c>
      <c r="W50" s="790">
        <f t="shared" ref="W50:W55" si="239">T50-V50</f>
        <v>2420</v>
      </c>
      <c r="X50" s="843">
        <f t="shared" ref="X50:X63" si="240">W50/$M50</f>
        <v>1.21</v>
      </c>
      <c r="Y50" s="844">
        <f>+'Plan - Semanal'!F74+'Plan - Semanal'!F76</f>
        <v>1900</v>
      </c>
      <c r="Z50" s="788">
        <f t="shared" ref="Z50:Z55" si="241">W50-Y50</f>
        <v>520</v>
      </c>
      <c r="AA50" s="843">
        <f t="shared" ref="AA50:AA63" si="242">Z50/$M50</f>
        <v>0.26</v>
      </c>
      <c r="AB50" s="776">
        <f>+'Plan - Semanal'!G74+'Plan - Semanal'!G76</f>
        <v>1900</v>
      </c>
      <c r="AC50" s="777">
        <f t="shared" ref="AC50:AC55" si="243">Z50-AB50</f>
        <v>-1380</v>
      </c>
      <c r="AD50" s="843">
        <f t="shared" ref="AD50:AD63" si="244">AC50/$M50</f>
        <v>-0.69</v>
      </c>
      <c r="AE50" s="776">
        <f>+'Plan - Semanal'!H74+'Plan - Semanal'!H76</f>
        <v>700</v>
      </c>
      <c r="AF50" s="777">
        <f t="shared" ref="AF50:AF55" si="245">AC50-AE50</f>
        <v>-2080</v>
      </c>
      <c r="AG50" s="802">
        <f t="shared" ref="AG50:AG63" si="246">AF50/$M50</f>
        <v>-1.04</v>
      </c>
      <c r="AH50" s="776">
        <f>+'Plan - Semanal'!I74+'Plan - Semanal'!I76</f>
        <v>0</v>
      </c>
      <c r="AI50" s="777">
        <f t="shared" ref="AI50:AI55" si="247">AF50-AH50</f>
        <v>-2080</v>
      </c>
      <c r="AJ50" s="802">
        <f t="shared" ref="AJ50:AJ63" si="248">AI50/$M50</f>
        <v>-1.04</v>
      </c>
      <c r="AK50" s="783">
        <f>+'Plan - Semanal'!M74+'Plan - Semanal'!M76</f>
        <v>0</v>
      </c>
      <c r="AL50" s="792">
        <f t="shared" ref="AL50:AL55" si="249">AI50-AK50</f>
        <v>-2080</v>
      </c>
      <c r="AM50" s="843">
        <f t="shared" ref="AM50:AM63" si="250">AL50/$M50</f>
        <v>-1.04</v>
      </c>
      <c r="AN50" s="783">
        <f>+'Plan - Semanal'!N74+'Plan - Semanal'!N76</f>
        <v>0</v>
      </c>
      <c r="AO50" s="792">
        <f t="shared" ref="AO50:AO55" si="251">AL50-AN50</f>
        <v>-2080</v>
      </c>
      <c r="AP50" s="843">
        <f t="shared" ref="AP50:AP63" si="252">AO50/$M50</f>
        <v>-1.04</v>
      </c>
      <c r="AQ50" s="783">
        <f>+'Plan - Semanal'!O74+'Plan - Semanal'!O76</f>
        <v>0</v>
      </c>
      <c r="AR50" s="792">
        <f t="shared" ref="AR50:AR55" si="253">AO50-AQ50</f>
        <v>-2080</v>
      </c>
      <c r="AS50" s="843">
        <f t="shared" ref="AS50:AS55" si="254">AR50/M50</f>
        <v>-1.04</v>
      </c>
    </row>
    <row r="51" spans="1:45" x14ac:dyDescent="0.25">
      <c r="A51" s="831" t="s">
        <v>330</v>
      </c>
      <c r="B51" s="830" t="s">
        <v>329</v>
      </c>
      <c r="C51" s="780">
        <v>1</v>
      </c>
      <c r="D51" s="780" t="s">
        <v>284</v>
      </c>
      <c r="E51" s="794">
        <v>29</v>
      </c>
      <c r="F51" s="780" t="s">
        <v>254</v>
      </c>
      <c r="H51" s="781">
        <v>0</v>
      </c>
      <c r="I51" s="776" t="s">
        <v>284</v>
      </c>
      <c r="K51" s="790">
        <f t="shared" si="233"/>
        <v>0</v>
      </c>
      <c r="M51" s="783"/>
      <c r="N51" s="784" t="e">
        <f t="shared" si="234"/>
        <v>#DIV/0!</v>
      </c>
      <c r="P51" s="776">
        <f>+'Plan - Semanal'!C75+'Plan - Semanal'!C77</f>
        <v>0</v>
      </c>
      <c r="Q51" s="777">
        <f t="shared" si="235"/>
        <v>0</v>
      </c>
      <c r="R51" s="843" t="e">
        <f t="shared" si="236"/>
        <v>#DIV/0!</v>
      </c>
      <c r="S51" s="844">
        <f>+'Plan - Semanal'!D75+'Plan - Semanal'!D77</f>
        <v>0</v>
      </c>
      <c r="T51" s="788">
        <f t="shared" si="237"/>
        <v>0</v>
      </c>
      <c r="U51" s="843" t="e">
        <f t="shared" si="238"/>
        <v>#DIV/0!</v>
      </c>
      <c r="V51" s="782">
        <f>+'Plan - Semanal'!E75+'Plan - Semanal'!E77</f>
        <v>0</v>
      </c>
      <c r="W51" s="790">
        <f t="shared" si="239"/>
        <v>0</v>
      </c>
      <c r="X51" s="843" t="e">
        <f t="shared" si="240"/>
        <v>#DIV/0!</v>
      </c>
      <c r="Y51" s="844">
        <f>+'Plan - Semanal'!F75+'Plan - Semanal'!F77</f>
        <v>0</v>
      </c>
      <c r="Z51" s="788">
        <f t="shared" si="241"/>
        <v>0</v>
      </c>
      <c r="AA51" s="843" t="e">
        <f t="shared" si="242"/>
        <v>#DIV/0!</v>
      </c>
      <c r="AB51" s="776">
        <f>+'Plan - Semanal'!G75+'Plan - Semanal'!G77</f>
        <v>0</v>
      </c>
      <c r="AC51" s="777">
        <f t="shared" si="243"/>
        <v>0</v>
      </c>
      <c r="AD51" s="843" t="e">
        <f t="shared" si="244"/>
        <v>#DIV/0!</v>
      </c>
      <c r="AE51" s="776">
        <f>+'Plan - Semanal'!H75+'Plan - Semanal'!H77</f>
        <v>0</v>
      </c>
      <c r="AF51" s="777">
        <f t="shared" si="245"/>
        <v>0</v>
      </c>
      <c r="AG51" s="802" t="e">
        <f t="shared" si="246"/>
        <v>#DIV/0!</v>
      </c>
      <c r="AH51" s="776">
        <f>+'Plan - Semanal'!I75+'Plan - Semanal'!I77</f>
        <v>0</v>
      </c>
      <c r="AI51" s="777">
        <f t="shared" si="247"/>
        <v>0</v>
      </c>
      <c r="AJ51" s="802" t="e">
        <f t="shared" si="248"/>
        <v>#DIV/0!</v>
      </c>
      <c r="AK51" s="783">
        <f>+'Plan - Semanal'!M75+'Plan - Semanal'!M77</f>
        <v>0</v>
      </c>
      <c r="AL51" s="792">
        <f t="shared" si="249"/>
        <v>0</v>
      </c>
      <c r="AM51" s="843" t="e">
        <f t="shared" si="250"/>
        <v>#DIV/0!</v>
      </c>
      <c r="AN51" s="783">
        <f>+'Plan - Semanal'!N75+'Plan - Semanal'!N77</f>
        <v>0</v>
      </c>
      <c r="AO51" s="792">
        <f t="shared" si="251"/>
        <v>0</v>
      </c>
      <c r="AP51" s="843" t="e">
        <f t="shared" si="252"/>
        <v>#DIV/0!</v>
      </c>
      <c r="AQ51" s="783">
        <f>+'Plan - Semanal'!O75+'Plan - Semanal'!O77</f>
        <v>0</v>
      </c>
      <c r="AR51" s="792">
        <f t="shared" si="253"/>
        <v>0</v>
      </c>
      <c r="AS51" s="843" t="e">
        <f t="shared" si="254"/>
        <v>#DIV/0!</v>
      </c>
    </row>
    <row r="52" spans="1:45" x14ac:dyDescent="0.25">
      <c r="A52" s="1048" t="s">
        <v>333</v>
      </c>
      <c r="B52" s="833" t="s">
        <v>332</v>
      </c>
      <c r="C52" s="780">
        <v>1</v>
      </c>
      <c r="D52" s="780" t="s">
        <v>287</v>
      </c>
      <c r="E52" s="794">
        <v>25</v>
      </c>
      <c r="F52" s="780" t="s">
        <v>254</v>
      </c>
      <c r="H52" s="781">
        <v>49</v>
      </c>
      <c r="I52" s="776" t="s">
        <v>287</v>
      </c>
      <c r="J52" s="741"/>
      <c r="K52" s="782">
        <f t="shared" si="233"/>
        <v>1225</v>
      </c>
      <c r="M52" s="783">
        <v>1385</v>
      </c>
      <c r="N52" s="784">
        <f t="shared" si="234"/>
        <v>0.8844765342960289</v>
      </c>
      <c r="O52" s="775"/>
      <c r="P52" s="776">
        <f>P3+P6+P8+P10</f>
        <v>1900</v>
      </c>
      <c r="Q52" s="777">
        <f t="shared" si="235"/>
        <v>-675</v>
      </c>
      <c r="R52" s="843">
        <f t="shared" si="236"/>
        <v>-0.48736462093862815</v>
      </c>
      <c r="S52" s="844">
        <f>S3+S6+S8+S10</f>
        <v>1900</v>
      </c>
      <c r="T52" s="788">
        <f t="shared" si="237"/>
        <v>-2575</v>
      </c>
      <c r="U52" s="843">
        <f t="shared" si="238"/>
        <v>-1.8592057761732852</v>
      </c>
      <c r="V52" s="782">
        <f>V3+V6+V8+V10</f>
        <v>1900</v>
      </c>
      <c r="W52" s="790">
        <f t="shared" si="239"/>
        <v>-4475</v>
      </c>
      <c r="X52" s="843">
        <f t="shared" si="240"/>
        <v>-3.2310469314079424</v>
      </c>
      <c r="Y52" s="844">
        <f>Y3+Y6+Y8+Y10</f>
        <v>1700</v>
      </c>
      <c r="Z52" s="788">
        <f t="shared" si="241"/>
        <v>-6175</v>
      </c>
      <c r="AA52" s="843">
        <f t="shared" si="242"/>
        <v>-4.4584837545126357</v>
      </c>
      <c r="AB52" s="776">
        <f>AB3+AB6+AB8+AB10</f>
        <v>1200</v>
      </c>
      <c r="AC52" s="777">
        <f t="shared" si="243"/>
        <v>-7375</v>
      </c>
      <c r="AD52" s="843">
        <f t="shared" si="244"/>
        <v>-5.3249097472924189</v>
      </c>
      <c r="AE52" s="776">
        <f>AE3+AE6+AE8+AE10</f>
        <v>0</v>
      </c>
      <c r="AF52" s="777">
        <f t="shared" si="245"/>
        <v>-7375</v>
      </c>
      <c r="AG52" s="802">
        <f t="shared" si="246"/>
        <v>-5.3249097472924189</v>
      </c>
      <c r="AH52" s="776">
        <f>AH3+AH6+AH8+AH10</f>
        <v>0</v>
      </c>
      <c r="AI52" s="777">
        <f t="shared" si="247"/>
        <v>-7375</v>
      </c>
      <c r="AJ52" s="802">
        <f t="shared" si="248"/>
        <v>-5.3249097472924189</v>
      </c>
      <c r="AK52" s="783">
        <f>AK3+AK6+AK8+AK10</f>
        <v>0</v>
      </c>
      <c r="AL52" s="792">
        <f t="shared" si="249"/>
        <v>-7375</v>
      </c>
      <c r="AM52" s="843">
        <f t="shared" si="250"/>
        <v>-5.3249097472924189</v>
      </c>
      <c r="AN52" s="783">
        <f>AN3+AN6+AN8+AN10</f>
        <v>0</v>
      </c>
      <c r="AO52" s="792">
        <f t="shared" si="251"/>
        <v>-7375</v>
      </c>
      <c r="AP52" s="843">
        <f t="shared" si="252"/>
        <v>-5.3249097472924189</v>
      </c>
      <c r="AQ52" s="783">
        <f>AQ3+AQ6+AQ8+AQ10</f>
        <v>0</v>
      </c>
      <c r="AR52" s="792">
        <f t="shared" si="253"/>
        <v>-7375</v>
      </c>
      <c r="AS52" s="843">
        <f t="shared" si="254"/>
        <v>-5.3249097472924189</v>
      </c>
    </row>
    <row r="53" spans="1:45" x14ac:dyDescent="0.25">
      <c r="A53" s="795" t="s">
        <v>288</v>
      </c>
      <c r="B53" s="779" t="s">
        <v>289</v>
      </c>
      <c r="C53" s="780">
        <v>1</v>
      </c>
      <c r="D53" s="780" t="s">
        <v>287</v>
      </c>
      <c r="E53" s="794">
        <v>25</v>
      </c>
      <c r="F53" s="780" t="s">
        <v>254</v>
      </c>
      <c r="H53" s="781">
        <v>0</v>
      </c>
      <c r="I53" s="776" t="s">
        <v>287</v>
      </c>
      <c r="J53" s="741"/>
      <c r="K53" s="782">
        <f t="shared" si="233"/>
        <v>0</v>
      </c>
      <c r="M53" s="783">
        <v>60</v>
      </c>
      <c r="N53" s="784">
        <f t="shared" si="234"/>
        <v>0</v>
      </c>
      <c r="O53" s="775"/>
      <c r="P53" s="776">
        <f>+P4+P11</f>
        <v>0</v>
      </c>
      <c r="Q53" s="777">
        <f t="shared" si="235"/>
        <v>0</v>
      </c>
      <c r="R53" s="843">
        <f t="shared" si="236"/>
        <v>0</v>
      </c>
      <c r="S53" s="844">
        <f>+S4+S11</f>
        <v>0</v>
      </c>
      <c r="T53" s="788">
        <f t="shared" si="237"/>
        <v>0</v>
      </c>
      <c r="U53" s="843">
        <f t="shared" si="238"/>
        <v>0</v>
      </c>
      <c r="V53" s="782">
        <f>+V4+V11</f>
        <v>0</v>
      </c>
      <c r="W53" s="790">
        <f t="shared" si="239"/>
        <v>0</v>
      </c>
      <c r="X53" s="843">
        <f t="shared" si="240"/>
        <v>0</v>
      </c>
      <c r="Y53" s="844">
        <f>+Y4+Y11</f>
        <v>0</v>
      </c>
      <c r="Z53" s="788">
        <f t="shared" si="241"/>
        <v>0</v>
      </c>
      <c r="AA53" s="843">
        <f t="shared" si="242"/>
        <v>0</v>
      </c>
      <c r="AB53" s="776">
        <f>+AB4+AB11</f>
        <v>0</v>
      </c>
      <c r="AC53" s="777">
        <f t="shared" si="243"/>
        <v>0</v>
      </c>
      <c r="AD53" s="843">
        <f t="shared" si="244"/>
        <v>0</v>
      </c>
      <c r="AE53" s="776">
        <f>+AE4+AE11</f>
        <v>0</v>
      </c>
      <c r="AF53" s="777">
        <f t="shared" si="245"/>
        <v>0</v>
      </c>
      <c r="AG53" s="802">
        <f t="shared" si="246"/>
        <v>0</v>
      </c>
      <c r="AH53" s="776">
        <f>+AH4+AH11</f>
        <v>0</v>
      </c>
      <c r="AI53" s="777">
        <f t="shared" si="247"/>
        <v>0</v>
      </c>
      <c r="AJ53" s="802">
        <f t="shared" si="248"/>
        <v>0</v>
      </c>
      <c r="AK53" s="783">
        <f>+AK4+AK11</f>
        <v>0</v>
      </c>
      <c r="AL53" s="792">
        <f t="shared" si="249"/>
        <v>0</v>
      </c>
      <c r="AM53" s="843">
        <f t="shared" si="250"/>
        <v>0</v>
      </c>
      <c r="AN53" s="783">
        <f>+AN4+AN11</f>
        <v>0</v>
      </c>
      <c r="AO53" s="792">
        <f t="shared" si="251"/>
        <v>0</v>
      </c>
      <c r="AP53" s="843">
        <f t="shared" si="252"/>
        <v>0</v>
      </c>
      <c r="AQ53" s="783">
        <f>+AQ4+AQ11</f>
        <v>0</v>
      </c>
      <c r="AR53" s="792">
        <f t="shared" si="253"/>
        <v>0</v>
      </c>
      <c r="AS53" s="843">
        <f t="shared" si="254"/>
        <v>0</v>
      </c>
    </row>
    <row r="54" spans="1:45" x14ac:dyDescent="0.25">
      <c r="A54" s="1048" t="s">
        <v>334</v>
      </c>
      <c r="B54" s="836" t="s">
        <v>339</v>
      </c>
      <c r="C54" s="780">
        <v>1</v>
      </c>
      <c r="D54" s="780" t="s">
        <v>287</v>
      </c>
      <c r="E54" s="794">
        <v>25</v>
      </c>
      <c r="F54" s="780" t="s">
        <v>254</v>
      </c>
      <c r="H54" s="781">
        <v>99</v>
      </c>
      <c r="I54" s="776" t="s">
        <v>287</v>
      </c>
      <c r="J54" s="771"/>
      <c r="K54" s="790">
        <f t="shared" si="233"/>
        <v>2475</v>
      </c>
      <c r="L54" s="771"/>
      <c r="M54" s="783">
        <v>55</v>
      </c>
      <c r="N54" s="784">
        <f t="shared" si="234"/>
        <v>45</v>
      </c>
      <c r="O54" s="775"/>
      <c r="P54" s="776">
        <f>+P5+P9+P12</f>
        <v>0</v>
      </c>
      <c r="Q54" s="777">
        <f t="shared" si="235"/>
        <v>2475</v>
      </c>
      <c r="R54" s="843">
        <f t="shared" si="236"/>
        <v>45</v>
      </c>
      <c r="S54" s="844">
        <f>+S5+S9+S12</f>
        <v>0</v>
      </c>
      <c r="T54" s="788">
        <f t="shared" si="237"/>
        <v>2475</v>
      </c>
      <c r="U54" s="843">
        <f t="shared" si="238"/>
        <v>45</v>
      </c>
      <c r="V54" s="782">
        <f>+V5+V9+V12</f>
        <v>0</v>
      </c>
      <c r="W54" s="790">
        <f t="shared" si="239"/>
        <v>2475</v>
      </c>
      <c r="X54" s="843">
        <f t="shared" si="240"/>
        <v>45</v>
      </c>
      <c r="Y54" s="844">
        <f>+Y5+Y9+Y12</f>
        <v>0</v>
      </c>
      <c r="Z54" s="788">
        <f t="shared" si="241"/>
        <v>2475</v>
      </c>
      <c r="AA54" s="843">
        <f t="shared" si="242"/>
        <v>45</v>
      </c>
      <c r="AB54" s="776">
        <f>+AB5+AB9+AB12</f>
        <v>0</v>
      </c>
      <c r="AC54" s="777">
        <f t="shared" si="243"/>
        <v>2475</v>
      </c>
      <c r="AD54" s="843">
        <f t="shared" si="244"/>
        <v>45</v>
      </c>
      <c r="AE54" s="776">
        <f>+AE5+AE9+AE12</f>
        <v>0</v>
      </c>
      <c r="AF54" s="777">
        <f t="shared" si="245"/>
        <v>2475</v>
      </c>
      <c r="AG54" s="802">
        <f t="shared" si="246"/>
        <v>45</v>
      </c>
      <c r="AH54" s="776">
        <f>+AH5+AH9+AH12</f>
        <v>0</v>
      </c>
      <c r="AI54" s="777">
        <f t="shared" si="247"/>
        <v>2475</v>
      </c>
      <c r="AJ54" s="802">
        <f t="shared" si="248"/>
        <v>45</v>
      </c>
      <c r="AK54" s="783">
        <f>+AK5+AK9+AK12</f>
        <v>0</v>
      </c>
      <c r="AL54" s="792">
        <f t="shared" si="249"/>
        <v>2475</v>
      </c>
      <c r="AM54" s="843">
        <f t="shared" si="250"/>
        <v>45</v>
      </c>
      <c r="AN54" s="783">
        <f>+AN5+AN9+AN12</f>
        <v>0</v>
      </c>
      <c r="AO54" s="792">
        <f t="shared" si="251"/>
        <v>2475</v>
      </c>
      <c r="AP54" s="843">
        <f t="shared" si="252"/>
        <v>45</v>
      </c>
      <c r="AQ54" s="783">
        <f>+AQ5+AQ9+AQ12</f>
        <v>0</v>
      </c>
      <c r="AR54" s="792">
        <f t="shared" si="253"/>
        <v>2475</v>
      </c>
      <c r="AS54" s="843">
        <f t="shared" si="254"/>
        <v>45</v>
      </c>
    </row>
    <row r="55" spans="1:45" x14ac:dyDescent="0.25">
      <c r="A55" s="1054" t="s">
        <v>466</v>
      </c>
      <c r="B55" s="1053" t="s">
        <v>463</v>
      </c>
      <c r="C55" s="780">
        <v>1</v>
      </c>
      <c r="D55" s="780" t="s">
        <v>287</v>
      </c>
      <c r="E55" s="794">
        <v>25</v>
      </c>
      <c r="F55" s="780" t="s">
        <v>254</v>
      </c>
      <c r="H55" s="781">
        <v>52</v>
      </c>
      <c r="I55" s="776" t="s">
        <v>287</v>
      </c>
      <c r="J55" s="771"/>
      <c r="K55" s="790">
        <f t="shared" si="233"/>
        <v>1300</v>
      </c>
      <c r="L55" s="771"/>
      <c r="M55" s="783">
        <v>200</v>
      </c>
      <c r="N55" s="784">
        <f t="shared" si="234"/>
        <v>6.5</v>
      </c>
      <c r="O55" s="775"/>
      <c r="P55" s="776">
        <f>+P13</f>
        <v>0</v>
      </c>
      <c r="Q55" s="777">
        <f t="shared" si="235"/>
        <v>1300</v>
      </c>
      <c r="R55" s="843">
        <f t="shared" si="236"/>
        <v>6.5</v>
      </c>
      <c r="S55" s="844">
        <f>+S13</f>
        <v>0</v>
      </c>
      <c r="T55" s="788">
        <f t="shared" si="237"/>
        <v>1300</v>
      </c>
      <c r="U55" s="843">
        <f t="shared" si="238"/>
        <v>6.5</v>
      </c>
      <c r="V55" s="782">
        <f>+V13</f>
        <v>0</v>
      </c>
      <c r="W55" s="790">
        <f t="shared" si="239"/>
        <v>1300</v>
      </c>
      <c r="X55" s="843">
        <f t="shared" si="240"/>
        <v>6.5</v>
      </c>
      <c r="Y55" s="844">
        <f>+Y13</f>
        <v>0</v>
      </c>
      <c r="Z55" s="788">
        <f t="shared" si="241"/>
        <v>1300</v>
      </c>
      <c r="AA55" s="843">
        <f t="shared" si="242"/>
        <v>6.5</v>
      </c>
      <c r="AB55" s="776">
        <f>+AB13</f>
        <v>0</v>
      </c>
      <c r="AC55" s="777">
        <f t="shared" si="243"/>
        <v>1300</v>
      </c>
      <c r="AD55" s="843">
        <f t="shared" si="244"/>
        <v>6.5</v>
      </c>
      <c r="AE55" s="776">
        <f>+AE13</f>
        <v>700</v>
      </c>
      <c r="AF55" s="777">
        <f t="shared" si="245"/>
        <v>600</v>
      </c>
      <c r="AG55" s="802">
        <f t="shared" si="246"/>
        <v>3</v>
      </c>
      <c r="AH55" s="776">
        <f>+AH13</f>
        <v>0</v>
      </c>
      <c r="AI55" s="777">
        <f t="shared" si="247"/>
        <v>600</v>
      </c>
      <c r="AJ55" s="802">
        <f t="shared" si="248"/>
        <v>3</v>
      </c>
      <c r="AK55" s="783">
        <f>+AK13</f>
        <v>0</v>
      </c>
      <c r="AL55" s="792">
        <f t="shared" si="249"/>
        <v>600</v>
      </c>
      <c r="AM55" s="843">
        <f t="shared" si="250"/>
        <v>3</v>
      </c>
      <c r="AN55" s="783">
        <f>+AN13</f>
        <v>0</v>
      </c>
      <c r="AO55" s="792">
        <f t="shared" si="251"/>
        <v>600</v>
      </c>
      <c r="AP55" s="843">
        <f t="shared" si="252"/>
        <v>3</v>
      </c>
      <c r="AQ55" s="783">
        <f>+AQ13</f>
        <v>0</v>
      </c>
      <c r="AR55" s="792">
        <f t="shared" si="253"/>
        <v>600</v>
      </c>
      <c r="AS55" s="843">
        <f t="shared" si="254"/>
        <v>3</v>
      </c>
    </row>
    <row r="56" spans="1:45" x14ac:dyDescent="0.25">
      <c r="A56" s="1054" t="s">
        <v>467</v>
      </c>
      <c r="B56" s="943" t="s">
        <v>392</v>
      </c>
      <c r="C56" s="780">
        <v>1</v>
      </c>
      <c r="D56" s="780" t="s">
        <v>287</v>
      </c>
      <c r="E56" s="794">
        <v>25</v>
      </c>
      <c r="F56" s="780" t="s">
        <v>254</v>
      </c>
      <c r="H56" s="781">
        <v>0</v>
      </c>
      <c r="I56" s="776" t="s">
        <v>287</v>
      </c>
      <c r="J56" s="771"/>
      <c r="K56" s="790">
        <f t="shared" ref="K56" si="255">(H56*E56)/C56</f>
        <v>0</v>
      </c>
      <c r="L56" s="771"/>
      <c r="M56" s="783">
        <v>75</v>
      </c>
      <c r="N56" s="784">
        <f t="shared" ref="N56" si="256">K56/M56</f>
        <v>0</v>
      </c>
      <c r="O56" s="775"/>
      <c r="P56" s="776">
        <f>+P16</f>
        <v>0</v>
      </c>
      <c r="Q56" s="777">
        <f t="shared" ref="Q56" si="257">K56-P56</f>
        <v>0</v>
      </c>
      <c r="R56" s="843">
        <f t="shared" si="236"/>
        <v>0</v>
      </c>
      <c r="S56" s="844">
        <f>+S16</f>
        <v>0</v>
      </c>
      <c r="T56" s="788">
        <f t="shared" ref="T56" si="258">Q56-S56</f>
        <v>0</v>
      </c>
      <c r="U56" s="843">
        <f t="shared" si="238"/>
        <v>0</v>
      </c>
      <c r="V56" s="782">
        <f>+V16</f>
        <v>0</v>
      </c>
      <c r="W56" s="790">
        <f t="shared" ref="W56" si="259">T56-V56</f>
        <v>0</v>
      </c>
      <c r="X56" s="843">
        <f t="shared" si="240"/>
        <v>0</v>
      </c>
      <c r="Y56" s="844">
        <f>+Y16</f>
        <v>0</v>
      </c>
      <c r="Z56" s="788">
        <f t="shared" ref="Z56" si="260">W56-Y56</f>
        <v>0</v>
      </c>
      <c r="AA56" s="843">
        <f t="shared" si="242"/>
        <v>0</v>
      </c>
      <c r="AB56" s="776">
        <f>+AB16</f>
        <v>700</v>
      </c>
      <c r="AC56" s="777">
        <f t="shared" ref="AC56" si="261">Z56-AB56</f>
        <v>-700</v>
      </c>
      <c r="AD56" s="843">
        <f t="shared" si="244"/>
        <v>-9.3333333333333339</v>
      </c>
      <c r="AE56" s="776">
        <f>+AE16</f>
        <v>0</v>
      </c>
      <c r="AF56" s="777">
        <f t="shared" ref="AF56" si="262">AC56-AE56</f>
        <v>-700</v>
      </c>
      <c r="AG56" s="802">
        <f t="shared" si="246"/>
        <v>-9.3333333333333339</v>
      </c>
      <c r="AH56" s="776">
        <f>+AH16</f>
        <v>0</v>
      </c>
      <c r="AI56" s="777">
        <f t="shared" ref="AI56" si="263">AF56-AH56</f>
        <v>-700</v>
      </c>
      <c r="AJ56" s="802">
        <f t="shared" si="248"/>
        <v>-9.3333333333333339</v>
      </c>
      <c r="AK56" s="783">
        <f>+AK16</f>
        <v>0</v>
      </c>
      <c r="AL56" s="792">
        <f t="shared" ref="AL56" si="264">AI56-AK56</f>
        <v>-700</v>
      </c>
      <c r="AM56" s="843">
        <f t="shared" si="250"/>
        <v>-9.3333333333333339</v>
      </c>
      <c r="AN56" s="783">
        <f>+AN16</f>
        <v>0</v>
      </c>
      <c r="AO56" s="792">
        <f t="shared" ref="AO56" si="265">AL56-AN56</f>
        <v>-700</v>
      </c>
      <c r="AP56" s="843">
        <f t="shared" si="252"/>
        <v>-9.3333333333333339</v>
      </c>
      <c r="AQ56" s="783">
        <f>+AQ16</f>
        <v>0</v>
      </c>
      <c r="AR56" s="792">
        <f t="shared" ref="AR56" si="266">AO56-AQ56</f>
        <v>-700</v>
      </c>
      <c r="AS56" s="843">
        <f t="shared" ref="AS56" si="267">AR56/M56</f>
        <v>-9.3333333333333339</v>
      </c>
    </row>
    <row r="57" spans="1:45" x14ac:dyDescent="0.25">
      <c r="A57" s="1054" t="s">
        <v>468</v>
      </c>
      <c r="B57" s="1053" t="s">
        <v>464</v>
      </c>
      <c r="C57" s="780">
        <v>1</v>
      </c>
      <c r="D57" s="780" t="s">
        <v>287</v>
      </c>
      <c r="E57" s="794">
        <v>25</v>
      </c>
      <c r="F57" s="780" t="s">
        <v>254</v>
      </c>
      <c r="H57" s="781">
        <v>0</v>
      </c>
      <c r="I57" s="776" t="s">
        <v>287</v>
      </c>
      <c r="J57" s="771"/>
      <c r="K57" s="790">
        <f t="shared" ref="K57:K58" si="268">(H57*E57)/C57</f>
        <v>0</v>
      </c>
      <c r="L57" s="771"/>
      <c r="M57" s="783">
        <v>125</v>
      </c>
      <c r="N57" s="784">
        <f t="shared" ref="N57:N58" si="269">K57/M57</f>
        <v>0</v>
      </c>
      <c r="O57" s="775"/>
      <c r="P57" s="776">
        <f>+'Plan - Semanal'!$C$57+'Plan - Semanal'!$C$58+'Plan - Semanal'!$C$59+'Plan - Semanal'!$C$60</f>
        <v>0</v>
      </c>
      <c r="Q57" s="777">
        <f t="shared" ref="Q57:Q58" si="270">K57-P57</f>
        <v>0</v>
      </c>
      <c r="R57" s="843">
        <f t="shared" si="236"/>
        <v>0</v>
      </c>
      <c r="S57" s="844">
        <f>+'Plan - Semanal'!$D$57+'Plan - Semanal'!$D$58+'Plan - Semanal'!$D$59+'Plan - Semanal'!$D$60</f>
        <v>0</v>
      </c>
      <c r="T57" s="788">
        <f t="shared" ref="T57:T58" si="271">Q57-S57</f>
        <v>0</v>
      </c>
      <c r="U57" s="843">
        <f t="shared" si="238"/>
        <v>0</v>
      </c>
      <c r="V57" s="782">
        <f>+'Plan - Semanal'!$D$57+'Plan - Semanal'!$D$58+'Plan - Semanal'!$D$59+'Plan - Semanal'!$D$60</f>
        <v>0</v>
      </c>
      <c r="W57" s="790">
        <f t="shared" ref="W57:W58" si="272">T57-V57</f>
        <v>0</v>
      </c>
      <c r="X57" s="843">
        <f t="shared" si="240"/>
        <v>0</v>
      </c>
      <c r="Y57" s="844">
        <f>+'Plan - Semanal'!$F$57+'Plan - Semanal'!$F$58+'Plan - Semanal'!$F$59+'Plan - Semanal'!$F$60</f>
        <v>0</v>
      </c>
      <c r="Z57" s="788">
        <f t="shared" ref="Z57:Z58" si="273">W57-Y57</f>
        <v>0</v>
      </c>
      <c r="AA57" s="843">
        <f t="shared" si="242"/>
        <v>0</v>
      </c>
      <c r="AB57" s="776">
        <f>+'Plan - Semanal'!$G$57+'Plan - Semanal'!$G$58+'Plan - Semanal'!$G$59+'Plan - Semanal'!$G$60</f>
        <v>0</v>
      </c>
      <c r="AC57" s="777">
        <f t="shared" ref="AC57:AC58" si="274">Z57-AB57</f>
        <v>0</v>
      </c>
      <c r="AD57" s="843">
        <f t="shared" si="244"/>
        <v>0</v>
      </c>
      <c r="AE57" s="776">
        <f>+'Plan - Semanal'!$H$57+'Plan - Semanal'!$H$58+'Plan - Semanal'!$H$59+'Plan - Semanal'!$H$60</f>
        <v>0</v>
      </c>
      <c r="AF57" s="777">
        <f t="shared" ref="AF57:AF58" si="275">AC57-AE57</f>
        <v>0</v>
      </c>
      <c r="AG57" s="802">
        <f t="shared" si="246"/>
        <v>0</v>
      </c>
      <c r="AH57" s="776">
        <f>+'Plan - Semanal'!$I$57+'Plan - Semanal'!$I$58+'Plan - Semanal'!$I$59+'Plan - Semanal'!$I$60</f>
        <v>0</v>
      </c>
      <c r="AI57" s="777">
        <f t="shared" ref="AI57:AI58" si="276">AF57-AH57</f>
        <v>0</v>
      </c>
      <c r="AJ57" s="802">
        <f t="shared" si="248"/>
        <v>0</v>
      </c>
      <c r="AK57" s="783">
        <f>+'Plan - Semanal'!$M$57+'Plan - Semanal'!$M$58+'Plan - Semanal'!$M$59+'Plan - Semanal'!$M$60</f>
        <v>0</v>
      </c>
      <c r="AL57" s="792">
        <f t="shared" ref="AL57:AL58" si="277">AI57-AK57</f>
        <v>0</v>
      </c>
      <c r="AM57" s="843">
        <f t="shared" si="250"/>
        <v>0</v>
      </c>
      <c r="AN57" s="783">
        <f>+'Plan - Semanal'!$N$57+'Plan - Semanal'!$N$58+'Plan - Semanal'!$N$59+'Plan - Semanal'!$N$60</f>
        <v>0</v>
      </c>
      <c r="AO57" s="792">
        <f t="shared" ref="AO57:AO58" si="278">AL57-AN57</f>
        <v>0</v>
      </c>
      <c r="AP57" s="843">
        <f t="shared" si="252"/>
        <v>0</v>
      </c>
      <c r="AQ57" s="783">
        <f>+'Plan - Semanal'!$O$57+'Plan - Semanal'!$O$58+'Plan - Semanal'!$O$59+'Plan - Semanal'!$O$60</f>
        <v>0</v>
      </c>
      <c r="AR57" s="792">
        <f t="shared" ref="AR57:AR58" si="279">AO57-AQ57</f>
        <v>0</v>
      </c>
      <c r="AS57" s="843">
        <f t="shared" ref="AS57:AS58" si="280">AR57/M57</f>
        <v>0</v>
      </c>
    </row>
    <row r="58" spans="1:45" x14ac:dyDescent="0.25">
      <c r="A58" s="1054" t="s">
        <v>469</v>
      </c>
      <c r="B58" s="1053" t="s">
        <v>465</v>
      </c>
      <c r="C58" s="780">
        <v>1</v>
      </c>
      <c r="D58" s="780" t="s">
        <v>287</v>
      </c>
      <c r="E58" s="794">
        <v>25</v>
      </c>
      <c r="F58" s="780" t="s">
        <v>254</v>
      </c>
      <c r="H58" s="781">
        <v>0</v>
      </c>
      <c r="I58" s="776" t="s">
        <v>287</v>
      </c>
      <c r="J58" s="771"/>
      <c r="K58" s="790">
        <f t="shared" si="268"/>
        <v>0</v>
      </c>
      <c r="L58" s="771"/>
      <c r="M58" s="783">
        <v>40</v>
      </c>
      <c r="N58" s="784">
        <f t="shared" si="269"/>
        <v>0</v>
      </c>
      <c r="O58" s="775"/>
      <c r="P58" s="776">
        <f>+'Plan - Semanal'!$C$61+'Plan - Semanal'!$C$62+'Plan - Semanal'!$C$63+'Plan - Semanal'!$C$64</f>
        <v>0</v>
      </c>
      <c r="Q58" s="777">
        <f t="shared" si="270"/>
        <v>0</v>
      </c>
      <c r="R58" s="843">
        <f t="shared" si="236"/>
        <v>0</v>
      </c>
      <c r="S58" s="844">
        <f>+'Plan - Semanal'!$D$61+'Plan - Semanal'!$D$62+'Plan - Semanal'!$D$63+'Plan - Semanal'!$D$64</f>
        <v>0</v>
      </c>
      <c r="T58" s="788">
        <f t="shared" si="271"/>
        <v>0</v>
      </c>
      <c r="U58" s="843">
        <f t="shared" si="238"/>
        <v>0</v>
      </c>
      <c r="V58" s="782">
        <f>+'Plan - Semanal'!$E$61+'Plan - Semanal'!$E$62+'Plan - Semanal'!$E$63+'Plan - Semanal'!$E$64</f>
        <v>0</v>
      </c>
      <c r="W58" s="790">
        <f t="shared" si="272"/>
        <v>0</v>
      </c>
      <c r="X58" s="843">
        <f t="shared" si="240"/>
        <v>0</v>
      </c>
      <c r="Y58" s="844">
        <f>+'Plan - Semanal'!$F$61+'Plan - Semanal'!$F$62+'Plan - Semanal'!$F$63+'Plan - Semanal'!$F$64</f>
        <v>200</v>
      </c>
      <c r="Z58" s="788">
        <f t="shared" si="273"/>
        <v>-200</v>
      </c>
      <c r="AA58" s="843">
        <f t="shared" si="242"/>
        <v>-5</v>
      </c>
      <c r="AB58" s="776">
        <f>+'Plan - Semanal'!$G$61+'Plan - Semanal'!$G$62+'Plan - Semanal'!$G$63+'Plan - Semanal'!$G$64</f>
        <v>0</v>
      </c>
      <c r="AC58" s="777">
        <f t="shared" si="274"/>
        <v>-200</v>
      </c>
      <c r="AD58" s="843">
        <f t="shared" si="244"/>
        <v>-5</v>
      </c>
      <c r="AE58" s="776">
        <f>+'Plan - Semanal'!$H$61+'Plan - Semanal'!$H$62+'Plan - Semanal'!$H$63+'Plan - Semanal'!$H$64</f>
        <v>0</v>
      </c>
      <c r="AF58" s="777">
        <f t="shared" si="275"/>
        <v>-200</v>
      </c>
      <c r="AG58" s="802">
        <f t="shared" si="246"/>
        <v>-5</v>
      </c>
      <c r="AH58" s="776">
        <f>+'Plan - Semanal'!$I$61+'Plan - Semanal'!$I$62+'Plan - Semanal'!$I$63+'Plan - Semanal'!$I$64</f>
        <v>0</v>
      </c>
      <c r="AI58" s="777">
        <f t="shared" si="276"/>
        <v>-200</v>
      </c>
      <c r="AJ58" s="802">
        <f t="shared" si="248"/>
        <v>-5</v>
      </c>
      <c r="AK58" s="783">
        <f>+'Plan - Semanal'!$M$61+'Plan - Semanal'!$M$62+'Plan - Semanal'!$M$63+'Plan - Semanal'!$M$64</f>
        <v>0</v>
      </c>
      <c r="AL58" s="792">
        <f t="shared" si="277"/>
        <v>-200</v>
      </c>
      <c r="AM58" s="843">
        <f t="shared" si="250"/>
        <v>-5</v>
      </c>
      <c r="AN58" s="783">
        <f>+'Plan - Semanal'!$N$61+'Plan - Semanal'!$N$62+'Plan - Semanal'!$N$63+'Plan - Semanal'!$N$64</f>
        <v>0</v>
      </c>
      <c r="AO58" s="792">
        <f t="shared" si="278"/>
        <v>-200</v>
      </c>
      <c r="AP58" s="843">
        <f t="shared" si="252"/>
        <v>-5</v>
      </c>
      <c r="AQ58" s="783">
        <f>+'Plan - Semanal'!$O$61+'Plan - Semanal'!$O$62+'Plan - Semanal'!$O$63+'Plan - Semanal'!$O$64</f>
        <v>0</v>
      </c>
      <c r="AR58" s="792">
        <f t="shared" si="279"/>
        <v>-200</v>
      </c>
      <c r="AS58" s="843">
        <f t="shared" si="280"/>
        <v>-5</v>
      </c>
    </row>
    <row r="59" spans="1:45" x14ac:dyDescent="0.25">
      <c r="A59" s="795" t="s">
        <v>290</v>
      </c>
      <c r="B59" s="779" t="s">
        <v>291</v>
      </c>
      <c r="C59" s="780">
        <v>2</v>
      </c>
      <c r="D59" s="780" t="s">
        <v>253</v>
      </c>
      <c r="E59" s="794">
        <v>2400</v>
      </c>
      <c r="F59" s="780" t="s">
        <v>254</v>
      </c>
      <c r="H59" s="781">
        <v>82</v>
      </c>
      <c r="I59" s="781" t="s">
        <v>253</v>
      </c>
      <c r="J59" s="741"/>
      <c r="K59" s="782">
        <f>(H59*E59)/C59</f>
        <v>98400</v>
      </c>
      <c r="M59" s="783">
        <v>2000</v>
      </c>
      <c r="N59" s="784">
        <f>K59/M59</f>
        <v>49.2</v>
      </c>
      <c r="O59" s="775"/>
      <c r="P59" s="776">
        <f>+P17</f>
        <v>1900</v>
      </c>
      <c r="Q59" s="777">
        <f>K59-P59</f>
        <v>96500</v>
      </c>
      <c r="R59" s="843">
        <f t="shared" si="236"/>
        <v>48.25</v>
      </c>
      <c r="S59" s="844">
        <f>+S17</f>
        <v>1900</v>
      </c>
      <c r="T59" s="788">
        <f>Q59-S59</f>
        <v>94600</v>
      </c>
      <c r="U59" s="843">
        <f t="shared" si="238"/>
        <v>47.3</v>
      </c>
      <c r="V59" s="782">
        <f>+V17</f>
        <v>1900</v>
      </c>
      <c r="W59" s="790">
        <f>T59-V59</f>
        <v>92700</v>
      </c>
      <c r="X59" s="843">
        <f t="shared" si="240"/>
        <v>46.35</v>
      </c>
      <c r="Y59" s="844">
        <f>+Y17</f>
        <v>1900</v>
      </c>
      <c r="Z59" s="788">
        <f>W59-Y59</f>
        <v>90800</v>
      </c>
      <c r="AA59" s="843">
        <f t="shared" si="242"/>
        <v>45.4</v>
      </c>
      <c r="AB59" s="776">
        <f>+AB17</f>
        <v>1900</v>
      </c>
      <c r="AC59" s="777">
        <f>Z59-AB59</f>
        <v>88900</v>
      </c>
      <c r="AD59" s="843">
        <f t="shared" si="244"/>
        <v>44.45</v>
      </c>
      <c r="AE59" s="776">
        <f>+AE17</f>
        <v>700</v>
      </c>
      <c r="AF59" s="777">
        <f>AC59-AE59</f>
        <v>88200</v>
      </c>
      <c r="AG59" s="802">
        <f t="shared" si="246"/>
        <v>44.1</v>
      </c>
      <c r="AH59" s="776">
        <f>+AH17</f>
        <v>0</v>
      </c>
      <c r="AI59" s="777">
        <f>AF59-AH59</f>
        <v>88200</v>
      </c>
      <c r="AJ59" s="802">
        <f t="shared" si="248"/>
        <v>44.1</v>
      </c>
      <c r="AK59" s="783">
        <f>+AK17</f>
        <v>0</v>
      </c>
      <c r="AL59" s="792">
        <f>AI59-AK59</f>
        <v>88200</v>
      </c>
      <c r="AM59" s="843">
        <f t="shared" si="250"/>
        <v>44.1</v>
      </c>
      <c r="AN59" s="783">
        <f>+AN17</f>
        <v>0</v>
      </c>
      <c r="AO59" s="792">
        <f>AL59-AN59</f>
        <v>88200</v>
      </c>
      <c r="AP59" s="843">
        <f t="shared" si="252"/>
        <v>44.1</v>
      </c>
      <c r="AQ59" s="783">
        <f>+AQ17</f>
        <v>0</v>
      </c>
      <c r="AR59" s="792">
        <f>AO59-AQ59</f>
        <v>88200</v>
      </c>
      <c r="AS59" s="843">
        <f>AR59/M59</f>
        <v>44.1</v>
      </c>
    </row>
    <row r="60" spans="1:45" x14ac:dyDescent="0.25">
      <c r="A60" s="795" t="s">
        <v>292</v>
      </c>
      <c r="B60" s="779" t="s">
        <v>293</v>
      </c>
      <c r="C60" s="780">
        <v>1</v>
      </c>
      <c r="D60" s="780" t="s">
        <v>253</v>
      </c>
      <c r="E60" s="794">
        <v>16</v>
      </c>
      <c r="F60" s="780" t="s">
        <v>294</v>
      </c>
      <c r="H60" s="781">
        <v>364</v>
      </c>
      <c r="I60" s="781" t="s">
        <v>253</v>
      </c>
      <c r="J60" s="741"/>
      <c r="K60" s="797">
        <f>(H60*E60)/C60</f>
        <v>5824</v>
      </c>
      <c r="L60" s="743" t="s">
        <v>295</v>
      </c>
      <c r="M60" s="783">
        <v>30</v>
      </c>
      <c r="N60" s="784">
        <f>K60/M60</f>
        <v>194.13333333333333</v>
      </c>
      <c r="O60" s="775"/>
      <c r="P60" s="776">
        <f>+P17</f>
        <v>1900</v>
      </c>
      <c r="Q60" s="777">
        <f>K60-P60</f>
        <v>3924</v>
      </c>
      <c r="R60" s="843">
        <f t="shared" si="236"/>
        <v>130.80000000000001</v>
      </c>
      <c r="S60" s="844">
        <f>+S17</f>
        <v>1900</v>
      </c>
      <c r="T60" s="788">
        <f>Q60-S60</f>
        <v>2024</v>
      </c>
      <c r="U60" s="843">
        <f t="shared" si="238"/>
        <v>67.466666666666669</v>
      </c>
      <c r="V60" s="782">
        <f>+V17</f>
        <v>1900</v>
      </c>
      <c r="W60" s="790">
        <f>T60-V60</f>
        <v>124</v>
      </c>
      <c r="X60" s="843">
        <f t="shared" si="240"/>
        <v>4.1333333333333337</v>
      </c>
      <c r="Y60" s="844">
        <f>+Y17</f>
        <v>1900</v>
      </c>
      <c r="Z60" s="788">
        <f>W60-Y60</f>
        <v>-1776</v>
      </c>
      <c r="AA60" s="843">
        <f t="shared" si="242"/>
        <v>-59.2</v>
      </c>
      <c r="AB60" s="776">
        <f>+AB17</f>
        <v>1900</v>
      </c>
      <c r="AC60" s="777">
        <f>Z60-AB60</f>
        <v>-3676</v>
      </c>
      <c r="AD60" s="843">
        <f t="shared" si="244"/>
        <v>-122.53333333333333</v>
      </c>
      <c r="AE60" s="776">
        <f>+AE17</f>
        <v>700</v>
      </c>
      <c r="AF60" s="777">
        <f>AC60-AE60</f>
        <v>-4376</v>
      </c>
      <c r="AG60" s="802">
        <f t="shared" si="246"/>
        <v>-145.86666666666667</v>
      </c>
      <c r="AH60" s="776">
        <f>+AH17</f>
        <v>0</v>
      </c>
      <c r="AI60" s="777">
        <f>AF60-AH60</f>
        <v>-4376</v>
      </c>
      <c r="AJ60" s="802">
        <f t="shared" si="248"/>
        <v>-145.86666666666667</v>
      </c>
      <c r="AK60" s="783">
        <f>+AK17</f>
        <v>0</v>
      </c>
      <c r="AL60" s="792">
        <f>AI60-AK60</f>
        <v>-4376</v>
      </c>
      <c r="AM60" s="843">
        <f t="shared" si="250"/>
        <v>-145.86666666666667</v>
      </c>
      <c r="AN60" s="783">
        <f>+AN17</f>
        <v>0</v>
      </c>
      <c r="AO60" s="792">
        <f>AL60-AN60</f>
        <v>-4376</v>
      </c>
      <c r="AP60" s="843">
        <f t="shared" si="252"/>
        <v>-145.86666666666667</v>
      </c>
      <c r="AQ60" s="783">
        <f>+AQ17</f>
        <v>0</v>
      </c>
      <c r="AR60" s="792">
        <f>AO60-AQ60</f>
        <v>-4376</v>
      </c>
      <c r="AS60" s="843">
        <f>AR60/M60</f>
        <v>-145.86666666666667</v>
      </c>
    </row>
    <row r="61" spans="1:45" x14ac:dyDescent="0.25">
      <c r="A61" s="795" t="s">
        <v>296</v>
      </c>
      <c r="B61" s="779" t="s">
        <v>297</v>
      </c>
      <c r="C61" s="780">
        <v>1</v>
      </c>
      <c r="D61" s="780" t="s">
        <v>253</v>
      </c>
      <c r="E61" s="794"/>
      <c r="F61" s="780" t="s">
        <v>294</v>
      </c>
      <c r="H61" s="781">
        <v>814</v>
      </c>
      <c r="I61" s="781" t="s">
        <v>253</v>
      </c>
      <c r="J61" s="741"/>
      <c r="K61" s="797">
        <f>(H61*E61)/C61</f>
        <v>0</v>
      </c>
      <c r="L61" s="743" t="s">
        <v>295</v>
      </c>
      <c r="M61" s="783"/>
      <c r="N61" s="784"/>
      <c r="O61" s="775"/>
      <c r="P61" s="776">
        <f>+P17</f>
        <v>1900</v>
      </c>
      <c r="Q61" s="777">
        <f>K61-P61</f>
        <v>-1900</v>
      </c>
      <c r="R61" s="843" t="e">
        <f t="shared" si="236"/>
        <v>#DIV/0!</v>
      </c>
      <c r="S61" s="844">
        <f>+S17</f>
        <v>1900</v>
      </c>
      <c r="T61" s="788">
        <f>Q61-S61</f>
        <v>-3800</v>
      </c>
      <c r="U61" s="843" t="e">
        <f t="shared" si="238"/>
        <v>#DIV/0!</v>
      </c>
      <c r="V61" s="782">
        <f>+V17</f>
        <v>1900</v>
      </c>
      <c r="W61" s="790">
        <f>T61-V61</f>
        <v>-5700</v>
      </c>
      <c r="X61" s="843" t="e">
        <f t="shared" si="240"/>
        <v>#DIV/0!</v>
      </c>
      <c r="Y61" s="844">
        <f>+Y17</f>
        <v>1900</v>
      </c>
      <c r="Z61" s="788">
        <f>W61-Y61</f>
        <v>-7600</v>
      </c>
      <c r="AA61" s="843" t="e">
        <f t="shared" si="242"/>
        <v>#DIV/0!</v>
      </c>
      <c r="AB61" s="776">
        <f>+AB17</f>
        <v>1900</v>
      </c>
      <c r="AC61" s="777">
        <f>Z61-AB61</f>
        <v>-9500</v>
      </c>
      <c r="AD61" s="843" t="e">
        <f t="shared" si="244"/>
        <v>#DIV/0!</v>
      </c>
      <c r="AE61" s="776">
        <f>+AE17</f>
        <v>700</v>
      </c>
      <c r="AF61" s="777">
        <f>AC61-AE61</f>
        <v>-10200</v>
      </c>
      <c r="AG61" s="802" t="e">
        <f t="shared" si="246"/>
        <v>#DIV/0!</v>
      </c>
      <c r="AH61" s="776">
        <f>+AH17</f>
        <v>0</v>
      </c>
      <c r="AI61" s="777">
        <f>AF61-AH61</f>
        <v>-10200</v>
      </c>
      <c r="AJ61" s="802" t="e">
        <f t="shared" si="248"/>
        <v>#DIV/0!</v>
      </c>
      <c r="AK61" s="783">
        <f>+AK17</f>
        <v>0</v>
      </c>
      <c r="AL61" s="792">
        <f>AI61-AK61</f>
        <v>-10200</v>
      </c>
      <c r="AM61" s="843" t="e">
        <f t="shared" si="250"/>
        <v>#DIV/0!</v>
      </c>
      <c r="AN61" s="783">
        <f>+AN17</f>
        <v>0</v>
      </c>
      <c r="AO61" s="792">
        <f>AL61-AN61</f>
        <v>-10200</v>
      </c>
      <c r="AP61" s="843" t="e">
        <f t="shared" si="252"/>
        <v>#DIV/0!</v>
      </c>
      <c r="AQ61" s="783">
        <f>+AQ17</f>
        <v>0</v>
      </c>
      <c r="AR61" s="792">
        <f>AO61-AQ61</f>
        <v>-10200</v>
      </c>
      <c r="AS61" s="843" t="e">
        <f>AR61/M61</f>
        <v>#DIV/0!</v>
      </c>
    </row>
    <row r="62" spans="1:45" x14ac:dyDescent="0.25">
      <c r="A62" s="795" t="s">
        <v>314</v>
      </c>
      <c r="B62" s="795" t="s">
        <v>315</v>
      </c>
      <c r="C62" s="780">
        <v>1</v>
      </c>
      <c r="D62" s="780" t="s">
        <v>298</v>
      </c>
      <c r="E62" s="780">
        <v>20</v>
      </c>
      <c r="F62" s="780" t="s">
        <v>254</v>
      </c>
      <c r="H62" s="781">
        <v>700</v>
      </c>
      <c r="I62" s="776" t="s">
        <v>299</v>
      </c>
      <c r="J62" s="771"/>
      <c r="K62" s="790">
        <f>(H62*E62)/C62</f>
        <v>14000</v>
      </c>
      <c r="L62" s="771"/>
      <c r="M62" s="783">
        <v>2000</v>
      </c>
      <c r="N62" s="784">
        <f>K62/M62</f>
        <v>7</v>
      </c>
      <c r="O62" s="775"/>
      <c r="P62" s="776">
        <f>+P17</f>
        <v>1900</v>
      </c>
      <c r="Q62" s="777">
        <f>K62-P62</f>
        <v>12100</v>
      </c>
      <c r="R62" s="843">
        <f t="shared" si="236"/>
        <v>6.05</v>
      </c>
      <c r="S62" s="844">
        <f>+S17</f>
        <v>1900</v>
      </c>
      <c r="T62" s="788">
        <f>Q62-S62</f>
        <v>10200</v>
      </c>
      <c r="U62" s="843">
        <f t="shared" si="238"/>
        <v>5.0999999999999996</v>
      </c>
      <c r="V62" s="782">
        <f>+V17</f>
        <v>1900</v>
      </c>
      <c r="W62" s="790">
        <f>T62-V62</f>
        <v>8300</v>
      </c>
      <c r="X62" s="843">
        <f t="shared" si="240"/>
        <v>4.1500000000000004</v>
      </c>
      <c r="Y62" s="844">
        <f>+Y17</f>
        <v>1900</v>
      </c>
      <c r="Z62" s="788">
        <f>W62-Y62</f>
        <v>6400</v>
      </c>
      <c r="AA62" s="843">
        <f t="shared" si="242"/>
        <v>3.2</v>
      </c>
      <c r="AB62" s="776">
        <f>+AB17</f>
        <v>1900</v>
      </c>
      <c r="AC62" s="777">
        <f>Z62-AB62</f>
        <v>4500</v>
      </c>
      <c r="AD62" s="843">
        <f t="shared" si="244"/>
        <v>2.25</v>
      </c>
      <c r="AE62" s="776">
        <f>+AE17</f>
        <v>700</v>
      </c>
      <c r="AF62" s="777">
        <f>AC62-AE62</f>
        <v>3800</v>
      </c>
      <c r="AG62" s="802">
        <f t="shared" si="246"/>
        <v>1.9</v>
      </c>
      <c r="AH62" s="776">
        <f>+AH17</f>
        <v>0</v>
      </c>
      <c r="AI62" s="777">
        <f>AF62-AH62</f>
        <v>3800</v>
      </c>
      <c r="AJ62" s="802">
        <f t="shared" si="248"/>
        <v>1.9</v>
      </c>
      <c r="AK62" s="783">
        <f>+AK17</f>
        <v>0</v>
      </c>
      <c r="AL62" s="792">
        <f>AI62-AK62</f>
        <v>3800</v>
      </c>
      <c r="AM62" s="843">
        <f t="shared" si="250"/>
        <v>1.9</v>
      </c>
      <c r="AN62" s="783">
        <f>+AN17</f>
        <v>0</v>
      </c>
      <c r="AO62" s="792">
        <f>AL62-AN62</f>
        <v>3800</v>
      </c>
      <c r="AP62" s="843">
        <f t="shared" si="252"/>
        <v>1.9</v>
      </c>
      <c r="AQ62" s="783">
        <f>+AQ17</f>
        <v>0</v>
      </c>
      <c r="AR62" s="792">
        <f>AO62-AQ62</f>
        <v>3800</v>
      </c>
      <c r="AS62" s="843">
        <f>AR62/M62</f>
        <v>1.9</v>
      </c>
    </row>
    <row r="63" spans="1:45" x14ac:dyDescent="0.25">
      <c r="A63" s="798" t="s">
        <v>300</v>
      </c>
      <c r="B63" s="779" t="s">
        <v>316</v>
      </c>
      <c r="C63" s="780">
        <v>1</v>
      </c>
      <c r="D63" s="780" t="s">
        <v>298</v>
      </c>
      <c r="E63" s="780">
        <v>50</v>
      </c>
      <c r="F63" s="780" t="s">
        <v>254</v>
      </c>
      <c r="H63" s="799">
        <v>1300</v>
      </c>
      <c r="I63" s="799" t="s">
        <v>299</v>
      </c>
      <c r="J63" s="771"/>
      <c r="K63" s="800" t="s">
        <v>301</v>
      </c>
      <c r="L63" s="771"/>
      <c r="M63" s="783">
        <v>2000</v>
      </c>
      <c r="N63" s="801">
        <f>H63/((M63/E63)+(M64/E64))</f>
        <v>27.575757575757574</v>
      </c>
      <c r="O63" s="775"/>
      <c r="P63" s="776">
        <f>+P17</f>
        <v>1900</v>
      </c>
      <c r="Q63" s="802">
        <f>$H$63-((P63/$E$63)+(P64/$E$64))</f>
        <v>1262</v>
      </c>
      <c r="R63" s="843">
        <f t="shared" si="236"/>
        <v>0.63100000000000001</v>
      </c>
      <c r="S63" s="844">
        <f>+S17</f>
        <v>1900</v>
      </c>
      <c r="T63" s="788">
        <f>Q63-((S63/$E$63)+(S64/$E$64))</f>
        <v>1224</v>
      </c>
      <c r="U63" s="843">
        <f t="shared" si="238"/>
        <v>0.61199999999999999</v>
      </c>
      <c r="V63" s="782">
        <f>+V17</f>
        <v>1900</v>
      </c>
      <c r="W63" s="790">
        <f>T63-((V63/$E$63)+(V64/$E$64))</f>
        <v>1186</v>
      </c>
      <c r="X63" s="843">
        <f t="shared" si="240"/>
        <v>0.59299999999999997</v>
      </c>
      <c r="Y63" s="844">
        <f>+Y17</f>
        <v>1900</v>
      </c>
      <c r="Z63" s="788">
        <f>W63-((Y63/$E$63)+(Y64/$E$64))</f>
        <v>1148</v>
      </c>
      <c r="AA63" s="843">
        <f t="shared" si="242"/>
        <v>0.57399999999999995</v>
      </c>
      <c r="AB63" s="776">
        <f>+AB17</f>
        <v>1900</v>
      </c>
      <c r="AC63" s="777">
        <f>Z63-((AB63/$E$63)+(AB64/$E$64))</f>
        <v>1110</v>
      </c>
      <c r="AD63" s="843">
        <f t="shared" si="244"/>
        <v>0.55500000000000005</v>
      </c>
      <c r="AE63" s="776">
        <f>+AE17</f>
        <v>700</v>
      </c>
      <c r="AF63" s="777">
        <f>AC63-((AE63/$E$63)+(AE64/$E$64))</f>
        <v>1096</v>
      </c>
      <c r="AG63" s="802">
        <f t="shared" si="246"/>
        <v>0.54800000000000004</v>
      </c>
      <c r="AH63" s="776">
        <f>+AH17</f>
        <v>0</v>
      </c>
      <c r="AI63" s="777">
        <f>AF63-((AH63/$E$63)+(AH64/$E$64))</f>
        <v>1096</v>
      </c>
      <c r="AJ63" s="802">
        <f t="shared" si="248"/>
        <v>0.54800000000000004</v>
      </c>
      <c r="AK63" s="783">
        <f>+AK17</f>
        <v>0</v>
      </c>
      <c r="AL63" s="792">
        <f>AI63-((AK63/$E$63)+(AK64/$E$64))</f>
        <v>1096</v>
      </c>
      <c r="AM63" s="843">
        <f t="shared" si="250"/>
        <v>0.54800000000000004</v>
      </c>
      <c r="AN63" s="783">
        <f>+AN17</f>
        <v>0</v>
      </c>
      <c r="AO63" s="792">
        <f>AL63-((AN63/$E$63)+(AN64/$E$64))</f>
        <v>1096</v>
      </c>
      <c r="AP63" s="843">
        <f t="shared" si="252"/>
        <v>0.54800000000000004</v>
      </c>
      <c r="AQ63" s="783">
        <f>+AQ17</f>
        <v>0</v>
      </c>
      <c r="AR63" s="792">
        <f>AO63-((AQ63/$E$63)+(AQ64/$E$64))</f>
        <v>1096</v>
      </c>
      <c r="AS63" s="843">
        <f>AR63/M63</f>
        <v>0.54800000000000004</v>
      </c>
    </row>
    <row r="64" spans="1:45" x14ac:dyDescent="0.25">
      <c r="A64" s="803"/>
      <c r="B64" s="779" t="s">
        <v>317</v>
      </c>
      <c r="C64" s="780">
        <v>1</v>
      </c>
      <c r="D64" s="780" t="s">
        <v>298</v>
      </c>
      <c r="E64" s="780">
        <v>14</v>
      </c>
      <c r="F64" s="780" t="s">
        <v>302</v>
      </c>
      <c r="H64" s="770"/>
      <c r="I64" s="770"/>
      <c r="K64" s="804"/>
      <c r="M64" s="783">
        <v>100</v>
      </c>
      <c r="N64" s="805"/>
      <c r="P64" s="776">
        <f>+'Plan - Semanal'!C94</f>
        <v>0</v>
      </c>
      <c r="Q64" s="802"/>
      <c r="R64" s="843"/>
      <c r="S64" s="844">
        <f>+'Plan - Semanal'!D94</f>
        <v>0</v>
      </c>
      <c r="T64" s="788"/>
      <c r="U64" s="843"/>
      <c r="V64" s="782">
        <f>+'Plan - Semanal'!E94</f>
        <v>0</v>
      </c>
      <c r="W64" s="790"/>
      <c r="X64" s="843"/>
      <c r="Y64" s="844">
        <f>+'Plan - Semanal'!F94</f>
        <v>0</v>
      </c>
      <c r="Z64" s="788"/>
      <c r="AA64" s="843"/>
      <c r="AB64" s="776">
        <f>+'Plan - Semanal'!G94</f>
        <v>0</v>
      </c>
      <c r="AC64" s="777"/>
      <c r="AD64" s="843"/>
      <c r="AE64" s="776">
        <f>+'Plan - Semanal'!H94</f>
        <v>0</v>
      </c>
      <c r="AF64" s="777"/>
      <c r="AG64" s="802"/>
      <c r="AH64" s="776">
        <f>+'Plan - Semanal'!I94</f>
        <v>0</v>
      </c>
      <c r="AI64" s="777"/>
      <c r="AJ64" s="802"/>
      <c r="AK64" s="783">
        <f>+'Plan - Semanal'!M94</f>
        <v>0</v>
      </c>
      <c r="AL64" s="792"/>
      <c r="AM64" s="843"/>
      <c r="AN64" s="783">
        <f>+'Plan - Semanal'!N94</f>
        <v>0</v>
      </c>
      <c r="AO64" s="792"/>
      <c r="AP64" s="843"/>
      <c r="AQ64" s="783">
        <f>+'Plan - Semanal'!O94</f>
        <v>0</v>
      </c>
      <c r="AR64" s="792"/>
      <c r="AS64" s="843"/>
    </row>
    <row r="65" spans="1:45" x14ac:dyDescent="0.25">
      <c r="A65" s="1051" t="s">
        <v>446</v>
      </c>
      <c r="B65" s="1053" t="s">
        <v>470</v>
      </c>
      <c r="C65" s="780">
        <v>1</v>
      </c>
      <c r="D65" s="780" t="s">
        <v>318</v>
      </c>
      <c r="E65" s="780">
        <v>700</v>
      </c>
      <c r="F65" s="780" t="s">
        <v>254</v>
      </c>
      <c r="H65" s="781">
        <v>0</v>
      </c>
      <c r="I65" s="776" t="s">
        <v>319</v>
      </c>
      <c r="K65" s="790">
        <f>(H65*E65)/C65</f>
        <v>0</v>
      </c>
      <c r="M65" s="783">
        <v>0</v>
      </c>
      <c r="N65" s="784" t="e">
        <f>K65/M65</f>
        <v>#DIV/0!</v>
      </c>
      <c r="P65" s="776">
        <f>+P39</f>
        <v>700</v>
      </c>
      <c r="Q65" s="777">
        <f>K65-P65</f>
        <v>-700</v>
      </c>
      <c r="R65" s="843" t="e">
        <f>Q65/$M65</f>
        <v>#DIV/0!</v>
      </c>
      <c r="S65" s="844">
        <f>+S39</f>
        <v>700</v>
      </c>
      <c r="T65" s="788">
        <f>Q65-S65</f>
        <v>-1400</v>
      </c>
      <c r="U65" s="843" t="e">
        <f>T65/$M65</f>
        <v>#DIV/0!</v>
      </c>
      <c r="V65" s="782">
        <f>+V39</f>
        <v>700</v>
      </c>
      <c r="W65" s="790">
        <f>T65-V65</f>
        <v>-2100</v>
      </c>
      <c r="X65" s="843" t="e">
        <f>W65/$M65</f>
        <v>#DIV/0!</v>
      </c>
      <c r="Y65" s="844">
        <f>+Y39</f>
        <v>500</v>
      </c>
      <c r="Z65" s="788">
        <f>W65-Y65</f>
        <v>-2600</v>
      </c>
      <c r="AA65" s="843" t="e">
        <f>Z65/$M65</f>
        <v>#DIV/0!</v>
      </c>
      <c r="AB65" s="776">
        <f>+AB39</f>
        <v>0</v>
      </c>
      <c r="AC65" s="777">
        <f>Z65-AB65</f>
        <v>-2600</v>
      </c>
      <c r="AD65" s="843" t="e">
        <f>AC65/$M65</f>
        <v>#DIV/0!</v>
      </c>
      <c r="AE65" s="776">
        <f>+AE39</f>
        <v>700</v>
      </c>
      <c r="AF65" s="777">
        <f>AC65-AE65</f>
        <v>-3300</v>
      </c>
      <c r="AG65" s="802" t="e">
        <f>AF65/$M65</f>
        <v>#DIV/0!</v>
      </c>
      <c r="AH65" s="776">
        <f>+AH39</f>
        <v>0</v>
      </c>
      <c r="AI65" s="777">
        <f>AF65-AH65</f>
        <v>-3300</v>
      </c>
      <c r="AJ65" s="802" t="e">
        <f>AI65/$M65</f>
        <v>#DIV/0!</v>
      </c>
      <c r="AK65" s="783">
        <f>+AK39</f>
        <v>0</v>
      </c>
      <c r="AL65" s="792">
        <f>AI65-AK65</f>
        <v>-3300</v>
      </c>
      <c r="AM65" s="843" t="e">
        <f>AL65/$M65</f>
        <v>#DIV/0!</v>
      </c>
      <c r="AN65" s="783">
        <f>+AN39</f>
        <v>0</v>
      </c>
      <c r="AO65" s="792">
        <f>AL65-AN65</f>
        <v>-3300</v>
      </c>
      <c r="AP65" s="843" t="e">
        <f>AO65/$M65</f>
        <v>#DIV/0!</v>
      </c>
      <c r="AQ65" s="783">
        <f>+AQ39</f>
        <v>0</v>
      </c>
      <c r="AR65" s="792">
        <f>AO65-AQ65</f>
        <v>-3300</v>
      </c>
      <c r="AS65" s="843" t="e">
        <f>AR65/M65</f>
        <v>#DIV/0!</v>
      </c>
    </row>
    <row r="66" spans="1:45" x14ac:dyDescent="0.25">
      <c r="A66" s="1051" t="s">
        <v>447</v>
      </c>
      <c r="B66" s="1053" t="s">
        <v>471</v>
      </c>
      <c r="C66" s="780">
        <v>1</v>
      </c>
      <c r="D66" s="780" t="s">
        <v>318</v>
      </c>
      <c r="E66" s="780">
        <v>1200</v>
      </c>
      <c r="F66" s="780" t="s">
        <v>254</v>
      </c>
      <c r="H66" s="781">
        <v>30</v>
      </c>
      <c r="I66" s="776" t="s">
        <v>319</v>
      </c>
      <c r="K66" s="790">
        <f>(H66*E66)/C66</f>
        <v>36000</v>
      </c>
      <c r="M66" s="783">
        <v>2000</v>
      </c>
      <c r="N66" s="784">
        <f>K66/M66</f>
        <v>18</v>
      </c>
      <c r="P66" s="776">
        <f>+P38</f>
        <v>1200</v>
      </c>
      <c r="Q66" s="777">
        <f>K66-P66</f>
        <v>34800</v>
      </c>
      <c r="R66" s="843">
        <f>Q66/$M66</f>
        <v>17.399999999999999</v>
      </c>
      <c r="S66" s="844">
        <f>+S38</f>
        <v>1200</v>
      </c>
      <c r="T66" s="788">
        <f>Q66-S66</f>
        <v>33600</v>
      </c>
      <c r="U66" s="843">
        <f>T66/$M66</f>
        <v>16.8</v>
      </c>
      <c r="V66" s="782">
        <f>+V38</f>
        <v>1200</v>
      </c>
      <c r="W66" s="790">
        <f>T66-V66</f>
        <v>32400</v>
      </c>
      <c r="X66" s="843">
        <f>W66/$M66</f>
        <v>16.2</v>
      </c>
      <c r="Y66" s="844">
        <f>+Y38</f>
        <v>1200</v>
      </c>
      <c r="Z66" s="788">
        <f>W66-Y66</f>
        <v>31200</v>
      </c>
      <c r="AA66" s="843">
        <f>Z66/$M66</f>
        <v>15.6</v>
      </c>
      <c r="AB66" s="776">
        <f>+AB38</f>
        <v>1200</v>
      </c>
      <c r="AC66" s="777">
        <f>Z66-AB66</f>
        <v>30000</v>
      </c>
      <c r="AD66" s="843">
        <f>AC66/$M66</f>
        <v>15</v>
      </c>
      <c r="AE66" s="776">
        <f>+AE38</f>
        <v>0</v>
      </c>
      <c r="AF66" s="777">
        <f>AC66-AE66</f>
        <v>30000</v>
      </c>
      <c r="AG66" s="802">
        <f>AF66/$M66</f>
        <v>15</v>
      </c>
      <c r="AH66" s="776">
        <f>+AH38</f>
        <v>0</v>
      </c>
      <c r="AI66" s="777">
        <f>AF66-AH66</f>
        <v>30000</v>
      </c>
      <c r="AJ66" s="802">
        <f>AI66/$M66</f>
        <v>15</v>
      </c>
      <c r="AK66" s="783">
        <f>+AK38</f>
        <v>0</v>
      </c>
      <c r="AL66" s="792">
        <f>AI66-AK66</f>
        <v>30000</v>
      </c>
      <c r="AM66" s="843">
        <f>AL66/$M66</f>
        <v>15</v>
      </c>
      <c r="AN66" s="783">
        <f>+AN38</f>
        <v>0</v>
      </c>
      <c r="AO66" s="792">
        <f>AL66-AN66</f>
        <v>30000</v>
      </c>
      <c r="AP66" s="843">
        <f>AO66/$M66</f>
        <v>15</v>
      </c>
      <c r="AQ66" s="783">
        <f>+AQ38</f>
        <v>0</v>
      </c>
      <c r="AR66" s="792">
        <f>AO66-AQ66</f>
        <v>30000</v>
      </c>
      <c r="AS66" s="843">
        <f>AR66/M66</f>
        <v>15</v>
      </c>
    </row>
    <row r="67" spans="1:45" x14ac:dyDescent="0.25">
      <c r="A67" s="1052" t="s">
        <v>448</v>
      </c>
      <c r="B67" s="842"/>
      <c r="C67" s="780">
        <v>1</v>
      </c>
      <c r="D67" s="780" t="s">
        <v>318</v>
      </c>
      <c r="E67" s="780"/>
      <c r="F67" s="780" t="s">
        <v>254</v>
      </c>
      <c r="H67" s="781"/>
      <c r="I67" s="776" t="s">
        <v>319</v>
      </c>
      <c r="K67" s="790">
        <f>(H67*E67)/C67</f>
        <v>0</v>
      </c>
      <c r="M67" s="783"/>
      <c r="N67" s="784" t="e">
        <f>K67/M67</f>
        <v>#DIV/0!</v>
      </c>
      <c r="P67" s="776">
        <f>+P39</f>
        <v>700</v>
      </c>
      <c r="Q67" s="777">
        <f>K67-P67</f>
        <v>-700</v>
      </c>
      <c r="R67" s="843" t="e">
        <f>Q67/$M67</f>
        <v>#DIV/0!</v>
      </c>
      <c r="S67" s="844">
        <f>+S39</f>
        <v>700</v>
      </c>
      <c r="T67" s="788">
        <f>Q67-S67</f>
        <v>-1400</v>
      </c>
      <c r="U67" s="843" t="e">
        <f>T67/$M67</f>
        <v>#DIV/0!</v>
      </c>
      <c r="V67" s="782">
        <f>+V39</f>
        <v>700</v>
      </c>
      <c r="W67" s="790">
        <f>T67-V67</f>
        <v>-2100</v>
      </c>
      <c r="X67" s="843" t="e">
        <f>W67/$M67</f>
        <v>#DIV/0!</v>
      </c>
      <c r="Y67" s="844">
        <f>+Y39</f>
        <v>500</v>
      </c>
      <c r="Z67" s="788">
        <f>W67-Y67</f>
        <v>-2600</v>
      </c>
      <c r="AA67" s="843" t="e">
        <f>Z67/$M67</f>
        <v>#DIV/0!</v>
      </c>
      <c r="AB67" s="776">
        <f>+AB39</f>
        <v>0</v>
      </c>
      <c r="AC67" s="777">
        <f>Z67-AB67</f>
        <v>-2600</v>
      </c>
      <c r="AD67" s="843" t="e">
        <f>AC67/$M67</f>
        <v>#DIV/0!</v>
      </c>
      <c r="AE67" s="776">
        <f>+AE39</f>
        <v>700</v>
      </c>
      <c r="AF67" s="777">
        <f>AC67-AE67</f>
        <v>-3300</v>
      </c>
      <c r="AG67" s="802" t="e">
        <f>AF67/$M67</f>
        <v>#DIV/0!</v>
      </c>
      <c r="AH67" s="776">
        <f>+AH39</f>
        <v>0</v>
      </c>
      <c r="AI67" s="777">
        <f>AF67-AH67</f>
        <v>-3300</v>
      </c>
      <c r="AJ67" s="802" t="e">
        <f>AI67/$M67</f>
        <v>#DIV/0!</v>
      </c>
      <c r="AK67" s="783">
        <f>+AK39</f>
        <v>0</v>
      </c>
      <c r="AL67" s="792">
        <f>AI67-AK67</f>
        <v>-3300</v>
      </c>
      <c r="AM67" s="843" t="e">
        <f>AL67/$M67</f>
        <v>#DIV/0!</v>
      </c>
      <c r="AN67" s="783">
        <f>+AN39</f>
        <v>0</v>
      </c>
      <c r="AO67" s="792">
        <f>AL67-AN67</f>
        <v>-3300</v>
      </c>
      <c r="AP67" s="843" t="e">
        <f>AO67/$M67</f>
        <v>#DIV/0!</v>
      </c>
      <c r="AQ67" s="783">
        <f>+AQ39</f>
        <v>0</v>
      </c>
      <c r="AR67" s="792">
        <f>AO67-AQ67</f>
        <v>-3300</v>
      </c>
      <c r="AS67" s="843" t="e">
        <f>AR67/M67</f>
        <v>#DIV/0!</v>
      </c>
    </row>
    <row r="69" spans="1:45" ht="15.75" thickBot="1" x14ac:dyDescent="0.3">
      <c r="A69" s="806" t="s">
        <v>303</v>
      </c>
      <c r="B69" s="806"/>
      <c r="C69" s="806"/>
      <c r="D69" s="806"/>
      <c r="E69" s="806"/>
      <c r="F69" s="806"/>
      <c r="O69" s="775"/>
      <c r="P69" s="771"/>
      <c r="Q69" s="771"/>
      <c r="R69" s="771"/>
      <c r="S69" s="771"/>
      <c r="T69" s="771"/>
      <c r="U69" s="771"/>
      <c r="V69" s="771"/>
      <c r="W69" s="771"/>
      <c r="X69" s="771"/>
      <c r="Y69" s="771"/>
      <c r="Z69" s="771"/>
      <c r="AA69" s="771"/>
      <c r="AB69" s="771"/>
      <c r="AC69" s="771"/>
      <c r="AD69" s="771"/>
      <c r="AE69" s="771"/>
      <c r="AF69" s="771"/>
      <c r="AG69" s="771"/>
      <c r="AH69" s="771"/>
      <c r="AI69" s="771"/>
      <c r="AJ69" s="771"/>
    </row>
    <row r="70" spans="1:45" ht="29.25" customHeight="1" thickBot="1" x14ac:dyDescent="0.3">
      <c r="A70" s="807" t="s">
        <v>225</v>
      </c>
      <c r="B70" s="807"/>
      <c r="C70" s="944" t="s">
        <v>226</v>
      </c>
      <c r="D70" s="935"/>
      <c r="E70" s="935"/>
      <c r="F70" s="936"/>
      <c r="G70" s="739"/>
      <c r="H70" s="945" t="s">
        <v>227</v>
      </c>
      <c r="I70" s="937"/>
      <c r="J70" s="738"/>
      <c r="K70" s="808" t="s">
        <v>228</v>
      </c>
      <c r="M70" s="938" t="s">
        <v>229</v>
      </c>
      <c r="N70" s="939"/>
      <c r="O70" s="775"/>
      <c r="P70" s="940" t="s">
        <v>230</v>
      </c>
      <c r="Q70" s="941"/>
      <c r="R70" s="941"/>
      <c r="S70" s="941"/>
      <c r="T70" s="941"/>
      <c r="U70" s="941"/>
      <c r="V70" s="941"/>
      <c r="W70" s="941"/>
      <c r="X70" s="941"/>
      <c r="Y70" s="941"/>
      <c r="Z70" s="941"/>
      <c r="AA70" s="941"/>
      <c r="AB70" s="941"/>
      <c r="AC70" s="941"/>
      <c r="AD70" s="941"/>
      <c r="AE70" s="941"/>
      <c r="AF70" s="941"/>
      <c r="AG70" s="941"/>
      <c r="AH70" s="941"/>
      <c r="AI70" s="941"/>
      <c r="AJ70" s="941"/>
      <c r="AK70" s="941"/>
      <c r="AL70" s="941"/>
      <c r="AM70" s="941"/>
      <c r="AN70" s="941"/>
      <c r="AO70" s="941"/>
      <c r="AP70" s="941"/>
      <c r="AQ70" s="941"/>
      <c r="AR70" s="941"/>
      <c r="AS70" s="942"/>
    </row>
    <row r="71" spans="1:45" ht="15.75" thickBot="1" x14ac:dyDescent="0.3">
      <c r="A71" s="809" t="s">
        <v>231</v>
      </c>
      <c r="B71" s="809" t="s">
        <v>232</v>
      </c>
      <c r="C71" s="810" t="s">
        <v>233</v>
      </c>
      <c r="D71" s="810" t="s">
        <v>234</v>
      </c>
      <c r="E71" s="810" t="s">
        <v>235</v>
      </c>
      <c r="F71" s="810" t="s">
        <v>234</v>
      </c>
      <c r="H71" s="811" t="s">
        <v>236</v>
      </c>
      <c r="I71" s="811" t="s">
        <v>234</v>
      </c>
      <c r="J71" s="812"/>
      <c r="K71" s="813" t="s">
        <v>304</v>
      </c>
      <c r="M71" s="814" t="s">
        <v>305</v>
      </c>
      <c r="N71" s="814" t="s">
        <v>239</v>
      </c>
      <c r="O71" s="775"/>
      <c r="P71" s="815" t="s">
        <v>240</v>
      </c>
      <c r="Q71" s="816" t="s">
        <v>241</v>
      </c>
      <c r="R71" s="817" t="s">
        <v>242</v>
      </c>
      <c r="S71" s="818" t="s">
        <v>243</v>
      </c>
      <c r="T71" s="819" t="s">
        <v>241</v>
      </c>
      <c r="U71" s="820" t="s">
        <v>242</v>
      </c>
      <c r="V71" s="821" t="s">
        <v>244</v>
      </c>
      <c r="W71" s="822" t="s">
        <v>241</v>
      </c>
      <c r="X71" s="823" t="s">
        <v>242</v>
      </c>
      <c r="Y71" s="818" t="s">
        <v>245</v>
      </c>
      <c r="Z71" s="819" t="s">
        <v>241</v>
      </c>
      <c r="AA71" s="820" t="s">
        <v>242</v>
      </c>
      <c r="AB71" s="815" t="s">
        <v>246</v>
      </c>
      <c r="AC71" s="816" t="s">
        <v>241</v>
      </c>
      <c r="AD71" s="817" t="s">
        <v>242</v>
      </c>
      <c r="AE71" s="815" t="s">
        <v>247</v>
      </c>
      <c r="AF71" s="816" t="s">
        <v>241</v>
      </c>
      <c r="AG71" s="817" t="s">
        <v>242</v>
      </c>
      <c r="AH71" s="815" t="s">
        <v>248</v>
      </c>
      <c r="AI71" s="816" t="s">
        <v>241</v>
      </c>
      <c r="AJ71" s="817" t="s">
        <v>242</v>
      </c>
      <c r="AK71" s="824" t="s">
        <v>221</v>
      </c>
      <c r="AL71" s="825" t="s">
        <v>249</v>
      </c>
      <c r="AM71" s="826" t="s">
        <v>242</v>
      </c>
      <c r="AN71" s="824" t="s">
        <v>222</v>
      </c>
      <c r="AO71" s="825" t="s">
        <v>250</v>
      </c>
      <c r="AP71" s="826" t="s">
        <v>242</v>
      </c>
      <c r="AQ71" s="824" t="s">
        <v>223</v>
      </c>
      <c r="AR71" s="825" t="s">
        <v>251</v>
      </c>
      <c r="AS71" s="827" t="s">
        <v>242</v>
      </c>
    </row>
    <row r="72" spans="1:45" x14ac:dyDescent="0.25">
      <c r="A72" s="779" t="s">
        <v>306</v>
      </c>
      <c r="B72" s="779" t="s">
        <v>307</v>
      </c>
      <c r="C72" s="780">
        <v>1</v>
      </c>
      <c r="D72" s="780" t="s">
        <v>284</v>
      </c>
      <c r="E72" s="780">
        <v>45</v>
      </c>
      <c r="F72" s="780" t="s">
        <v>302</v>
      </c>
      <c r="H72" s="828">
        <v>4</v>
      </c>
      <c r="I72" s="835" t="s">
        <v>338</v>
      </c>
      <c r="J72" s="771"/>
      <c r="K72" s="782">
        <f>(H72*E72)/C72</f>
        <v>180</v>
      </c>
      <c r="L72" s="771"/>
      <c r="M72" s="783">
        <v>80</v>
      </c>
      <c r="N72" s="784">
        <f t="shared" ref="N72:N80" si="281">K72/M72</f>
        <v>2.25</v>
      </c>
      <c r="O72" s="775"/>
      <c r="P72" s="785">
        <f>+'Plan - Semanal'!C94</f>
        <v>0</v>
      </c>
      <c r="Q72" s="777">
        <f>K72-P72</f>
        <v>180</v>
      </c>
      <c r="R72" s="786" t="str">
        <f t="shared" ref="R72:R80" si="282">IF(P72=0,"-",Q72/M72)</f>
        <v>-</v>
      </c>
      <c r="S72" s="787">
        <f>+'Plan - Semanal'!D94</f>
        <v>0</v>
      </c>
      <c r="T72" s="788">
        <f t="shared" ref="T72:T80" si="283">Q72-S72</f>
        <v>180</v>
      </c>
      <c r="U72" s="786" t="str">
        <f t="shared" ref="U72:U81" si="284">IF(S72=0,"-",T72/$M72)</f>
        <v>-</v>
      </c>
      <c r="V72" s="789">
        <f>+'Plan - Semanal'!E94</f>
        <v>0</v>
      </c>
      <c r="W72" s="790">
        <f t="shared" ref="W72:W80" si="285">T72-V72</f>
        <v>180</v>
      </c>
      <c r="X72" s="786" t="str">
        <f t="shared" ref="X72:X81" si="286">IF(V72=0,"-",W72/$M72)</f>
        <v>-</v>
      </c>
      <c r="Y72" s="787">
        <f>+'Plan - Semanal'!F94</f>
        <v>0</v>
      </c>
      <c r="Z72" s="788">
        <f t="shared" ref="Z72:Z80" si="287">W72-Y72</f>
        <v>180</v>
      </c>
      <c r="AA72" s="786" t="str">
        <f t="shared" ref="AA72:AA81" si="288">IF(Y72=0,"-",Z72/$M72)</f>
        <v>-</v>
      </c>
      <c r="AB72" s="785">
        <f>+'Plan - Semanal'!G94</f>
        <v>0</v>
      </c>
      <c r="AC72" s="777">
        <f t="shared" ref="AC72:AC80" si="289">Z72-AB72</f>
        <v>180</v>
      </c>
      <c r="AD72" s="786" t="str">
        <f t="shared" ref="AD72:AD81" si="290">IF(AB72=0,"-",AC72/$M72)</f>
        <v>-</v>
      </c>
      <c r="AE72" s="785">
        <f>+'Plan - Semanal'!H94</f>
        <v>0</v>
      </c>
      <c r="AF72" s="777">
        <f t="shared" ref="AF72:AF80" si="291">AC72-AE72</f>
        <v>180</v>
      </c>
      <c r="AG72" s="778" t="str">
        <f t="shared" ref="AG72:AG81" si="292">IF(AE72=0,"-",AF72/$M72)</f>
        <v>-</v>
      </c>
      <c r="AH72" s="785">
        <f>+'Plan - Semanal'!I94</f>
        <v>0</v>
      </c>
      <c r="AI72" s="777">
        <f t="shared" ref="AI72:AI80" si="293">AF72-AH72</f>
        <v>180</v>
      </c>
      <c r="AJ72" s="778" t="str">
        <f t="shared" ref="AJ72:AJ81" si="294">IF(AH72=0,"-",AI72/$M72)</f>
        <v>-</v>
      </c>
      <c r="AK72" s="791">
        <f>+'Plan - Semanal'!M94</f>
        <v>0</v>
      </c>
      <c r="AL72" s="792">
        <f t="shared" ref="AL72:AL80" si="295">AI72-AK72</f>
        <v>180</v>
      </c>
      <c r="AM72" s="786" t="str">
        <f t="shared" ref="AM72:AM81" si="296">IF(AK72=0,"-",AL72/$M72)</f>
        <v>-</v>
      </c>
      <c r="AN72" s="791">
        <f>+'Plan - Semanal'!N94</f>
        <v>0</v>
      </c>
      <c r="AO72" s="792">
        <f t="shared" ref="AO72:AO80" si="297">AL72-AN72</f>
        <v>180</v>
      </c>
      <c r="AP72" s="786" t="str">
        <f t="shared" ref="AP72:AP81" si="298">IF(AN72=0,"-",AO72/$M72)</f>
        <v>-</v>
      </c>
      <c r="AQ72" s="791">
        <f>+'Plan - Semanal'!O94</f>
        <v>0</v>
      </c>
      <c r="AR72" s="792">
        <f t="shared" ref="AR72:AR80" si="299">AO72-AQ72</f>
        <v>180</v>
      </c>
      <c r="AS72" s="793" t="str">
        <f t="shared" ref="AS72:AS80" si="300">IF(AQ72=0,"-",AR72/M72)</f>
        <v>-</v>
      </c>
    </row>
    <row r="73" spans="1:45" x14ac:dyDescent="0.25">
      <c r="A73" s="779" t="s">
        <v>308</v>
      </c>
      <c r="B73" s="779" t="s">
        <v>309</v>
      </c>
      <c r="C73" s="780">
        <v>200</v>
      </c>
      <c r="D73" s="780" t="s">
        <v>299</v>
      </c>
      <c r="E73" s="794">
        <f>191</f>
        <v>191</v>
      </c>
      <c r="F73" s="780" t="s">
        <v>302</v>
      </c>
      <c r="H73" s="828">
        <v>20</v>
      </c>
      <c r="I73" s="834" t="s">
        <v>335</v>
      </c>
      <c r="J73" s="771"/>
      <c r="K73" s="782">
        <f>(H73*200*E73)/C73</f>
        <v>3820</v>
      </c>
      <c r="L73" s="771"/>
      <c r="M73" s="783">
        <v>80</v>
      </c>
      <c r="N73" s="784">
        <f t="shared" si="281"/>
        <v>47.75</v>
      </c>
      <c r="O73" s="775"/>
      <c r="P73" s="785">
        <f>+P72</f>
        <v>0</v>
      </c>
      <c r="Q73" s="777">
        <f t="shared" ref="Q73:Q80" si="301">K73-P73</f>
        <v>3820</v>
      </c>
      <c r="R73" s="786" t="str">
        <f t="shared" si="282"/>
        <v>-</v>
      </c>
      <c r="S73" s="787">
        <f>+S72</f>
        <v>0</v>
      </c>
      <c r="T73" s="788">
        <f t="shared" si="283"/>
        <v>3820</v>
      </c>
      <c r="U73" s="786" t="str">
        <f t="shared" si="284"/>
        <v>-</v>
      </c>
      <c r="V73" s="789">
        <f>+V72</f>
        <v>0</v>
      </c>
      <c r="W73" s="790">
        <f t="shared" si="285"/>
        <v>3820</v>
      </c>
      <c r="X73" s="786" t="str">
        <f t="shared" si="286"/>
        <v>-</v>
      </c>
      <c r="Y73" s="787">
        <f>+Y72</f>
        <v>0</v>
      </c>
      <c r="Z73" s="788">
        <f t="shared" si="287"/>
        <v>3820</v>
      </c>
      <c r="AA73" s="786" t="str">
        <f t="shared" si="288"/>
        <v>-</v>
      </c>
      <c r="AB73" s="785">
        <f>+AB72</f>
        <v>0</v>
      </c>
      <c r="AC73" s="777">
        <f t="shared" si="289"/>
        <v>3820</v>
      </c>
      <c r="AD73" s="786" t="str">
        <f t="shared" si="290"/>
        <v>-</v>
      </c>
      <c r="AE73" s="785">
        <f>+AE72</f>
        <v>0</v>
      </c>
      <c r="AF73" s="777">
        <f t="shared" si="291"/>
        <v>3820</v>
      </c>
      <c r="AG73" s="778" t="str">
        <f t="shared" si="292"/>
        <v>-</v>
      </c>
      <c r="AH73" s="785">
        <f>+AH72</f>
        <v>0</v>
      </c>
      <c r="AI73" s="777">
        <f t="shared" si="293"/>
        <v>3820</v>
      </c>
      <c r="AJ73" s="778" t="str">
        <f t="shared" si="294"/>
        <v>-</v>
      </c>
      <c r="AK73" s="791">
        <f>+AK72</f>
        <v>0</v>
      </c>
      <c r="AL73" s="792">
        <f t="shared" si="295"/>
        <v>3820</v>
      </c>
      <c r="AM73" s="786" t="str">
        <f t="shared" si="296"/>
        <v>-</v>
      </c>
      <c r="AN73" s="791">
        <f>+AN72</f>
        <v>0</v>
      </c>
      <c r="AO73" s="792">
        <f t="shared" si="297"/>
        <v>3820</v>
      </c>
      <c r="AP73" s="786" t="str">
        <f t="shared" si="298"/>
        <v>-</v>
      </c>
      <c r="AQ73" s="791">
        <f>+AQ72</f>
        <v>0</v>
      </c>
      <c r="AR73" s="792">
        <f t="shared" si="299"/>
        <v>3820</v>
      </c>
      <c r="AS73" s="793" t="str">
        <f t="shared" si="300"/>
        <v>-</v>
      </c>
    </row>
    <row r="74" spans="1:45" x14ac:dyDescent="0.25">
      <c r="A74" s="779" t="s">
        <v>310</v>
      </c>
      <c r="B74" s="779" t="s">
        <v>311</v>
      </c>
      <c r="C74" s="780">
        <v>25</v>
      </c>
      <c r="D74" s="780" t="s">
        <v>312</v>
      </c>
      <c r="E74" s="794">
        <v>280</v>
      </c>
      <c r="F74" s="780" t="s">
        <v>302</v>
      </c>
      <c r="H74" s="828">
        <v>10</v>
      </c>
      <c r="I74" s="776" t="s">
        <v>320</v>
      </c>
      <c r="J74" s="771"/>
      <c r="K74" s="782">
        <f>(H74*25*E74)/C74</f>
        <v>2800</v>
      </c>
      <c r="L74" s="771"/>
      <c r="M74" s="783">
        <v>80</v>
      </c>
      <c r="N74" s="784">
        <f t="shared" si="281"/>
        <v>35</v>
      </c>
      <c r="O74" s="775"/>
      <c r="P74" s="785">
        <f>+P72</f>
        <v>0</v>
      </c>
      <c r="Q74" s="777">
        <f t="shared" si="301"/>
        <v>2800</v>
      </c>
      <c r="R74" s="786" t="str">
        <f t="shared" si="282"/>
        <v>-</v>
      </c>
      <c r="S74" s="787">
        <f>+S72</f>
        <v>0</v>
      </c>
      <c r="T74" s="788">
        <f t="shared" si="283"/>
        <v>2800</v>
      </c>
      <c r="U74" s="786" t="str">
        <f t="shared" si="284"/>
        <v>-</v>
      </c>
      <c r="V74" s="789">
        <f>+V72</f>
        <v>0</v>
      </c>
      <c r="W74" s="790">
        <f t="shared" si="285"/>
        <v>2800</v>
      </c>
      <c r="X74" s="786" t="str">
        <f t="shared" si="286"/>
        <v>-</v>
      </c>
      <c r="Y74" s="787">
        <f>+Y72</f>
        <v>0</v>
      </c>
      <c r="Z74" s="788">
        <f t="shared" si="287"/>
        <v>2800</v>
      </c>
      <c r="AA74" s="786" t="str">
        <f t="shared" si="288"/>
        <v>-</v>
      </c>
      <c r="AB74" s="785">
        <f>+AB72</f>
        <v>0</v>
      </c>
      <c r="AC74" s="777">
        <f t="shared" si="289"/>
        <v>2800</v>
      </c>
      <c r="AD74" s="786" t="str">
        <f t="shared" si="290"/>
        <v>-</v>
      </c>
      <c r="AE74" s="785">
        <f>+AE72</f>
        <v>0</v>
      </c>
      <c r="AF74" s="777">
        <f t="shared" si="291"/>
        <v>2800</v>
      </c>
      <c r="AG74" s="778" t="str">
        <f t="shared" si="292"/>
        <v>-</v>
      </c>
      <c r="AH74" s="785">
        <f>+AH72</f>
        <v>0</v>
      </c>
      <c r="AI74" s="777">
        <f t="shared" si="293"/>
        <v>2800</v>
      </c>
      <c r="AJ74" s="778" t="str">
        <f t="shared" si="294"/>
        <v>-</v>
      </c>
      <c r="AK74" s="791">
        <f>+AK72</f>
        <v>0</v>
      </c>
      <c r="AL74" s="792">
        <f t="shared" si="295"/>
        <v>2800</v>
      </c>
      <c r="AM74" s="786" t="str">
        <f t="shared" si="296"/>
        <v>-</v>
      </c>
      <c r="AN74" s="791">
        <f>+AN72</f>
        <v>0</v>
      </c>
      <c r="AO74" s="792">
        <f t="shared" si="297"/>
        <v>2800</v>
      </c>
      <c r="AP74" s="786" t="str">
        <f t="shared" si="298"/>
        <v>-</v>
      </c>
      <c r="AQ74" s="791">
        <f>+AQ72</f>
        <v>0</v>
      </c>
      <c r="AR74" s="792">
        <f t="shared" si="299"/>
        <v>2800</v>
      </c>
      <c r="AS74" s="793" t="str">
        <f t="shared" si="300"/>
        <v>-</v>
      </c>
    </row>
    <row r="75" spans="1:45" x14ac:dyDescent="0.25">
      <c r="A75" s="1055" t="s">
        <v>472</v>
      </c>
      <c r="B75" s="1055" t="s">
        <v>474</v>
      </c>
      <c r="C75" s="780">
        <v>1</v>
      </c>
      <c r="D75" s="780" t="s">
        <v>253</v>
      </c>
      <c r="E75" s="829">
        <v>2</v>
      </c>
      <c r="F75" s="780" t="s">
        <v>302</v>
      </c>
      <c r="H75" s="828">
        <v>99</v>
      </c>
      <c r="I75" s="776" t="s">
        <v>253</v>
      </c>
      <c r="J75" s="771"/>
      <c r="K75" s="782">
        <f t="shared" ref="K75" si="302">(H75*E75)/C75</f>
        <v>198</v>
      </c>
      <c r="L75" s="771"/>
      <c r="M75" s="783">
        <v>20</v>
      </c>
      <c r="N75" s="784">
        <f t="shared" si="281"/>
        <v>9.9</v>
      </c>
      <c r="P75" s="785">
        <f>+P72</f>
        <v>0</v>
      </c>
      <c r="Q75" s="777">
        <f t="shared" si="301"/>
        <v>198</v>
      </c>
      <c r="R75" s="786" t="str">
        <f t="shared" si="282"/>
        <v>-</v>
      </c>
      <c r="S75" s="787">
        <f>+S72</f>
        <v>0</v>
      </c>
      <c r="T75" s="788">
        <f t="shared" si="283"/>
        <v>198</v>
      </c>
      <c r="U75" s="786" t="str">
        <f t="shared" si="284"/>
        <v>-</v>
      </c>
      <c r="V75" s="789">
        <f>+V72</f>
        <v>0</v>
      </c>
      <c r="W75" s="790">
        <f t="shared" si="285"/>
        <v>198</v>
      </c>
      <c r="X75" s="786" t="str">
        <f t="shared" si="286"/>
        <v>-</v>
      </c>
      <c r="Y75" s="787">
        <f>+Y72</f>
        <v>0</v>
      </c>
      <c r="Z75" s="788">
        <f t="shared" si="287"/>
        <v>198</v>
      </c>
      <c r="AA75" s="786" t="str">
        <f t="shared" si="288"/>
        <v>-</v>
      </c>
      <c r="AB75" s="785">
        <f>+AB72</f>
        <v>0</v>
      </c>
      <c r="AC75" s="777">
        <f t="shared" si="289"/>
        <v>198</v>
      </c>
      <c r="AD75" s="786" t="str">
        <f t="shared" si="290"/>
        <v>-</v>
      </c>
      <c r="AE75" s="785">
        <f>+AE72</f>
        <v>0</v>
      </c>
      <c r="AF75" s="777">
        <f t="shared" si="291"/>
        <v>198</v>
      </c>
      <c r="AG75" s="778" t="str">
        <f t="shared" si="292"/>
        <v>-</v>
      </c>
      <c r="AH75" s="785">
        <f>+AH72</f>
        <v>0</v>
      </c>
      <c r="AI75" s="777">
        <f t="shared" si="293"/>
        <v>198</v>
      </c>
      <c r="AJ75" s="778" t="str">
        <f t="shared" si="294"/>
        <v>-</v>
      </c>
      <c r="AK75" s="791">
        <f>+AK72</f>
        <v>0</v>
      </c>
      <c r="AL75" s="792">
        <f t="shared" si="295"/>
        <v>198</v>
      </c>
      <c r="AM75" s="786" t="str">
        <f t="shared" si="296"/>
        <v>-</v>
      </c>
      <c r="AN75" s="791">
        <f>+AN72</f>
        <v>0</v>
      </c>
      <c r="AO75" s="792">
        <f t="shared" si="297"/>
        <v>198</v>
      </c>
      <c r="AP75" s="786" t="str">
        <f t="shared" si="298"/>
        <v>-</v>
      </c>
      <c r="AQ75" s="791">
        <f>+AQ72</f>
        <v>0</v>
      </c>
      <c r="AR75" s="792">
        <f t="shared" si="299"/>
        <v>198</v>
      </c>
      <c r="AS75" s="793" t="str">
        <f t="shared" si="300"/>
        <v>-</v>
      </c>
    </row>
    <row r="76" spans="1:45" x14ac:dyDescent="0.25">
      <c r="A76" s="779" t="s">
        <v>313</v>
      </c>
      <c r="B76" s="779" t="s">
        <v>313</v>
      </c>
      <c r="C76" s="780">
        <v>1</v>
      </c>
      <c r="D76" s="780" t="s">
        <v>253</v>
      </c>
      <c r="E76" s="829">
        <v>1.5</v>
      </c>
      <c r="F76" s="780" t="s">
        <v>302</v>
      </c>
      <c r="H76" s="828">
        <v>181</v>
      </c>
      <c r="I76" s="776" t="s">
        <v>253</v>
      </c>
      <c r="J76" s="771"/>
      <c r="K76" s="790">
        <f>(H76*E76)/C76</f>
        <v>271.5</v>
      </c>
      <c r="L76" s="771"/>
      <c r="M76" s="783">
        <v>60</v>
      </c>
      <c r="N76" s="784">
        <f t="shared" si="281"/>
        <v>4.5250000000000004</v>
      </c>
      <c r="P76" s="785">
        <f>+P72</f>
        <v>0</v>
      </c>
      <c r="Q76" s="777">
        <f t="shared" si="301"/>
        <v>271.5</v>
      </c>
      <c r="R76" s="786" t="str">
        <f t="shared" si="282"/>
        <v>-</v>
      </c>
      <c r="S76" s="787">
        <f>+S72</f>
        <v>0</v>
      </c>
      <c r="T76" s="788">
        <f t="shared" si="283"/>
        <v>271.5</v>
      </c>
      <c r="U76" s="786" t="str">
        <f t="shared" si="284"/>
        <v>-</v>
      </c>
      <c r="V76" s="789">
        <f>+V72</f>
        <v>0</v>
      </c>
      <c r="W76" s="790">
        <f t="shared" si="285"/>
        <v>271.5</v>
      </c>
      <c r="X76" s="786" t="str">
        <f t="shared" si="286"/>
        <v>-</v>
      </c>
      <c r="Y76" s="787">
        <f>+Y72</f>
        <v>0</v>
      </c>
      <c r="Z76" s="788">
        <f t="shared" si="287"/>
        <v>271.5</v>
      </c>
      <c r="AA76" s="786" t="str">
        <f t="shared" si="288"/>
        <v>-</v>
      </c>
      <c r="AB76" s="785">
        <f>+AB72</f>
        <v>0</v>
      </c>
      <c r="AC76" s="777">
        <f t="shared" si="289"/>
        <v>271.5</v>
      </c>
      <c r="AD76" s="786" t="str">
        <f t="shared" si="290"/>
        <v>-</v>
      </c>
      <c r="AE76" s="785">
        <f>+AE72</f>
        <v>0</v>
      </c>
      <c r="AF76" s="777">
        <f t="shared" si="291"/>
        <v>271.5</v>
      </c>
      <c r="AG76" s="778" t="str">
        <f t="shared" si="292"/>
        <v>-</v>
      </c>
      <c r="AH76" s="785">
        <f>+AH72</f>
        <v>0</v>
      </c>
      <c r="AI76" s="777">
        <f t="shared" si="293"/>
        <v>271.5</v>
      </c>
      <c r="AJ76" s="778" t="str">
        <f t="shared" si="294"/>
        <v>-</v>
      </c>
      <c r="AK76" s="791">
        <f>+AK72</f>
        <v>0</v>
      </c>
      <c r="AL76" s="792">
        <f t="shared" si="295"/>
        <v>271.5</v>
      </c>
      <c r="AM76" s="786" t="str">
        <f t="shared" si="296"/>
        <v>-</v>
      </c>
      <c r="AN76" s="791">
        <f>+AN72</f>
        <v>0</v>
      </c>
      <c r="AO76" s="792">
        <f t="shared" si="297"/>
        <v>271.5</v>
      </c>
      <c r="AP76" s="786" t="str">
        <f t="shared" si="298"/>
        <v>-</v>
      </c>
      <c r="AQ76" s="791">
        <f>+AQ72</f>
        <v>0</v>
      </c>
      <c r="AR76" s="792">
        <f t="shared" si="299"/>
        <v>271.5</v>
      </c>
      <c r="AS76" s="793" t="str">
        <f t="shared" si="300"/>
        <v>-</v>
      </c>
    </row>
    <row r="77" spans="1:45" x14ac:dyDescent="0.25">
      <c r="A77" s="779" t="s">
        <v>321</v>
      </c>
      <c r="B77" s="779" t="s">
        <v>321</v>
      </c>
      <c r="C77" s="780">
        <v>1</v>
      </c>
      <c r="D77" s="780" t="s">
        <v>312</v>
      </c>
      <c r="E77" s="829">
        <v>36</v>
      </c>
      <c r="F77" s="780" t="s">
        <v>302</v>
      </c>
      <c r="H77" s="828">
        <v>41</v>
      </c>
      <c r="I77" s="834" t="s">
        <v>336</v>
      </c>
      <c r="J77" s="771"/>
      <c r="K77" s="790">
        <f>(H77*E77)/C77</f>
        <v>1476</v>
      </c>
      <c r="L77" s="771"/>
      <c r="M77" s="783">
        <v>3</v>
      </c>
      <c r="N77" s="784">
        <f t="shared" si="281"/>
        <v>492</v>
      </c>
      <c r="P77" s="785">
        <f>+'Plan - Semanal'!C88</f>
        <v>0</v>
      </c>
      <c r="Q77" s="777">
        <f t="shared" si="301"/>
        <v>1476</v>
      </c>
      <c r="R77" s="786" t="str">
        <f t="shared" si="282"/>
        <v>-</v>
      </c>
      <c r="S77" s="787">
        <f>+'Plan - Semanal'!D88</f>
        <v>0</v>
      </c>
      <c r="T77" s="788">
        <f t="shared" si="283"/>
        <v>1476</v>
      </c>
      <c r="U77" s="786" t="str">
        <f t="shared" si="284"/>
        <v>-</v>
      </c>
      <c r="V77" s="789">
        <f>+'Plan - Semanal'!E88</f>
        <v>0</v>
      </c>
      <c r="W77" s="790">
        <f t="shared" si="285"/>
        <v>1476</v>
      </c>
      <c r="X77" s="786" t="str">
        <f t="shared" si="286"/>
        <v>-</v>
      </c>
      <c r="Y77" s="787">
        <f>+'Plan - Semanal'!F88</f>
        <v>0</v>
      </c>
      <c r="Z77" s="788">
        <f t="shared" si="287"/>
        <v>1476</v>
      </c>
      <c r="AA77" s="786" t="str">
        <f t="shared" si="288"/>
        <v>-</v>
      </c>
      <c r="AB77" s="785">
        <f>+'Plan - Semanal'!G88</f>
        <v>0</v>
      </c>
      <c r="AC77" s="777">
        <f t="shared" si="289"/>
        <v>1476</v>
      </c>
      <c r="AD77" s="786" t="str">
        <f t="shared" si="290"/>
        <v>-</v>
      </c>
      <c r="AE77" s="785">
        <f>+'Plan - Semanal'!H88</f>
        <v>0</v>
      </c>
      <c r="AF77" s="777">
        <f t="shared" si="291"/>
        <v>1476</v>
      </c>
      <c r="AG77" s="778" t="str">
        <f t="shared" si="292"/>
        <v>-</v>
      </c>
      <c r="AH77" s="785">
        <f>+'Plan - Semanal'!I88</f>
        <v>0</v>
      </c>
      <c r="AI77" s="777">
        <f t="shared" si="293"/>
        <v>1476</v>
      </c>
      <c r="AJ77" s="778" t="str">
        <f t="shared" si="294"/>
        <v>-</v>
      </c>
      <c r="AK77" s="791">
        <f>+'Plan - Semanal'!M88</f>
        <v>0</v>
      </c>
      <c r="AL77" s="792">
        <f t="shared" si="295"/>
        <v>1476</v>
      </c>
      <c r="AM77" s="786" t="str">
        <f t="shared" si="296"/>
        <v>-</v>
      </c>
      <c r="AN77" s="791">
        <f>+'Plan - Semanal'!N88</f>
        <v>0</v>
      </c>
      <c r="AO77" s="792">
        <f t="shared" si="297"/>
        <v>1476</v>
      </c>
      <c r="AP77" s="786" t="str">
        <f t="shared" si="298"/>
        <v>-</v>
      </c>
      <c r="AQ77" s="791">
        <f>+'Plan - Semanal'!O88</f>
        <v>0</v>
      </c>
      <c r="AR77" s="792">
        <f t="shared" si="299"/>
        <v>1476</v>
      </c>
      <c r="AS77" s="793" t="str">
        <f t="shared" si="300"/>
        <v>-</v>
      </c>
    </row>
    <row r="78" spans="1:45" x14ac:dyDescent="0.25">
      <c r="A78" s="840" t="s">
        <v>354</v>
      </c>
      <c r="B78" s="840" t="s">
        <v>355</v>
      </c>
      <c r="C78" s="780">
        <v>1</v>
      </c>
      <c r="D78" s="780" t="s">
        <v>312</v>
      </c>
      <c r="E78" s="829">
        <v>6.5</v>
      </c>
      <c r="F78" s="780" t="s">
        <v>302</v>
      </c>
      <c r="H78" s="828">
        <v>7.5</v>
      </c>
      <c r="I78" s="834" t="s">
        <v>337</v>
      </c>
      <c r="J78" s="771"/>
      <c r="K78" s="790">
        <f t="shared" ref="K78:K80" si="303">(H78*E78)/C78</f>
        <v>48.75</v>
      </c>
      <c r="L78" s="771"/>
      <c r="M78" s="783">
        <v>2</v>
      </c>
      <c r="N78" s="784">
        <f t="shared" si="281"/>
        <v>24.375</v>
      </c>
      <c r="P78" s="785">
        <f>+'Plan - Semanal'!C86</f>
        <v>0</v>
      </c>
      <c r="Q78" s="777">
        <f t="shared" si="301"/>
        <v>48.75</v>
      </c>
      <c r="R78" s="786" t="str">
        <f t="shared" si="282"/>
        <v>-</v>
      </c>
      <c r="S78" s="787">
        <f>+'Plan - Semanal'!D86</f>
        <v>0</v>
      </c>
      <c r="T78" s="788">
        <f t="shared" si="283"/>
        <v>48.75</v>
      </c>
      <c r="U78" s="786" t="str">
        <f t="shared" si="284"/>
        <v>-</v>
      </c>
      <c r="V78" s="789">
        <f>+'Plan - Semanal'!E86</f>
        <v>0</v>
      </c>
      <c r="W78" s="790">
        <f t="shared" si="285"/>
        <v>48.75</v>
      </c>
      <c r="X78" s="786" t="str">
        <f t="shared" si="286"/>
        <v>-</v>
      </c>
      <c r="Y78" s="787">
        <f>+'Plan - Semanal'!F86</f>
        <v>0</v>
      </c>
      <c r="Z78" s="788">
        <f t="shared" si="287"/>
        <v>48.75</v>
      </c>
      <c r="AA78" s="786" t="str">
        <f t="shared" si="288"/>
        <v>-</v>
      </c>
      <c r="AB78" s="785">
        <f>+'Plan - Semanal'!G86</f>
        <v>0</v>
      </c>
      <c r="AC78" s="777">
        <f t="shared" si="289"/>
        <v>48.75</v>
      </c>
      <c r="AD78" s="786" t="str">
        <f t="shared" si="290"/>
        <v>-</v>
      </c>
      <c r="AE78" s="785">
        <f>+'Plan - Semanal'!H86</f>
        <v>0</v>
      </c>
      <c r="AF78" s="777">
        <f t="shared" si="291"/>
        <v>48.75</v>
      </c>
      <c r="AG78" s="778" t="str">
        <f t="shared" si="292"/>
        <v>-</v>
      </c>
      <c r="AH78" s="785">
        <f>+'Plan - Semanal'!I86</f>
        <v>0</v>
      </c>
      <c r="AI78" s="777">
        <f t="shared" si="293"/>
        <v>48.75</v>
      </c>
      <c r="AJ78" s="778" t="str">
        <f t="shared" si="294"/>
        <v>-</v>
      </c>
      <c r="AK78" s="791">
        <f>+'Plan - Semanal'!M86</f>
        <v>0</v>
      </c>
      <c r="AL78" s="792">
        <f t="shared" si="295"/>
        <v>48.75</v>
      </c>
      <c r="AM78" s="786" t="str">
        <f t="shared" si="296"/>
        <v>-</v>
      </c>
      <c r="AN78" s="791">
        <f>+'Plan - Semanal'!N86</f>
        <v>0</v>
      </c>
      <c r="AO78" s="792">
        <f t="shared" si="297"/>
        <v>48.75</v>
      </c>
      <c r="AP78" s="786" t="str">
        <f t="shared" si="298"/>
        <v>-</v>
      </c>
      <c r="AQ78" s="791">
        <f>+'Plan - Semanal'!O86</f>
        <v>0</v>
      </c>
      <c r="AR78" s="792">
        <f t="shared" si="299"/>
        <v>48.75</v>
      </c>
      <c r="AS78" s="793" t="str">
        <f t="shared" si="300"/>
        <v>-</v>
      </c>
    </row>
    <row r="79" spans="1:45" x14ac:dyDescent="0.25">
      <c r="A79" s="840" t="s">
        <v>356</v>
      </c>
      <c r="B79" s="840" t="s">
        <v>357</v>
      </c>
      <c r="C79" s="780">
        <v>1</v>
      </c>
      <c r="D79" s="780" t="s">
        <v>312</v>
      </c>
      <c r="E79" s="829">
        <v>6.5</v>
      </c>
      <c r="F79" s="780" t="s">
        <v>302</v>
      </c>
      <c r="H79" s="828">
        <v>0</v>
      </c>
      <c r="I79" s="834" t="s">
        <v>337</v>
      </c>
      <c r="J79" s="771"/>
      <c r="K79" s="790">
        <f>(H79*E79)/C79</f>
        <v>0</v>
      </c>
      <c r="L79" s="771"/>
      <c r="M79" s="783">
        <v>5</v>
      </c>
      <c r="N79" s="784">
        <f t="shared" si="281"/>
        <v>0</v>
      </c>
      <c r="P79" s="785">
        <f>+'Plan - Semanal'!C87</f>
        <v>0</v>
      </c>
      <c r="Q79" s="777">
        <f t="shared" si="301"/>
        <v>0</v>
      </c>
      <c r="R79" s="786" t="str">
        <f t="shared" si="282"/>
        <v>-</v>
      </c>
      <c r="S79" s="787">
        <f>+'Plan - Semanal'!D87</f>
        <v>0</v>
      </c>
      <c r="T79" s="788">
        <f t="shared" si="283"/>
        <v>0</v>
      </c>
      <c r="U79" s="786" t="str">
        <f t="shared" si="284"/>
        <v>-</v>
      </c>
      <c r="V79" s="789">
        <f>+'Plan - Semanal'!E87</f>
        <v>0</v>
      </c>
      <c r="W79" s="790">
        <f t="shared" si="285"/>
        <v>0</v>
      </c>
      <c r="X79" s="786" t="str">
        <f t="shared" si="286"/>
        <v>-</v>
      </c>
      <c r="Y79" s="787">
        <f>+'Plan - Semanal'!F87</f>
        <v>0</v>
      </c>
      <c r="Z79" s="788">
        <f t="shared" si="287"/>
        <v>0</v>
      </c>
      <c r="AA79" s="786" t="str">
        <f t="shared" si="288"/>
        <v>-</v>
      </c>
      <c r="AB79" s="785">
        <f>+'Plan - Semanal'!G87</f>
        <v>0</v>
      </c>
      <c r="AC79" s="777">
        <f t="shared" si="289"/>
        <v>0</v>
      </c>
      <c r="AD79" s="786" t="str">
        <f t="shared" si="290"/>
        <v>-</v>
      </c>
      <c r="AE79" s="785">
        <f>+'Plan - Semanal'!H87</f>
        <v>0</v>
      </c>
      <c r="AF79" s="777">
        <f t="shared" si="291"/>
        <v>0</v>
      </c>
      <c r="AG79" s="778" t="str">
        <f t="shared" si="292"/>
        <v>-</v>
      </c>
      <c r="AH79" s="785">
        <f>+'Plan - Semanal'!I87</f>
        <v>0</v>
      </c>
      <c r="AI79" s="777">
        <f t="shared" si="293"/>
        <v>0</v>
      </c>
      <c r="AJ79" s="778" t="str">
        <f t="shared" si="294"/>
        <v>-</v>
      </c>
      <c r="AK79" s="791">
        <f>+'Plan - Semanal'!M87</f>
        <v>0</v>
      </c>
      <c r="AL79" s="792">
        <f t="shared" si="295"/>
        <v>0</v>
      </c>
      <c r="AM79" s="786" t="str">
        <f t="shared" si="296"/>
        <v>-</v>
      </c>
      <c r="AN79" s="791">
        <f>+'Plan - Semanal'!N87</f>
        <v>0</v>
      </c>
      <c r="AO79" s="792">
        <f t="shared" si="297"/>
        <v>0</v>
      </c>
      <c r="AP79" s="786" t="str">
        <f t="shared" si="298"/>
        <v>-</v>
      </c>
      <c r="AQ79" s="791">
        <f>+'Plan - Semanal'!O87</f>
        <v>0</v>
      </c>
      <c r="AR79" s="792">
        <f t="shared" si="299"/>
        <v>0</v>
      </c>
      <c r="AS79" s="793" t="str">
        <f t="shared" si="300"/>
        <v>-</v>
      </c>
    </row>
    <row r="80" spans="1:45" x14ac:dyDescent="0.25">
      <c r="A80" s="840" t="s">
        <v>358</v>
      </c>
      <c r="B80" s="840" t="s">
        <v>359</v>
      </c>
      <c r="C80" s="780">
        <v>1</v>
      </c>
      <c r="D80" s="780" t="s">
        <v>312</v>
      </c>
      <c r="E80" s="829">
        <v>6.5</v>
      </c>
      <c r="F80" s="780" t="s">
        <v>302</v>
      </c>
      <c r="H80" s="828">
        <v>8</v>
      </c>
      <c r="I80" s="834" t="s">
        <v>337</v>
      </c>
      <c r="J80" s="771"/>
      <c r="K80" s="790">
        <f t="shared" si="303"/>
        <v>52</v>
      </c>
      <c r="L80" s="771"/>
      <c r="M80" s="783">
        <v>13</v>
      </c>
      <c r="N80" s="784">
        <f t="shared" si="281"/>
        <v>4</v>
      </c>
      <c r="P80" s="785">
        <f>+'Plan - Semanal'!C88</f>
        <v>0</v>
      </c>
      <c r="Q80" s="777">
        <f t="shared" si="301"/>
        <v>52</v>
      </c>
      <c r="R80" s="786" t="str">
        <f t="shared" si="282"/>
        <v>-</v>
      </c>
      <c r="S80" s="787">
        <f>+'Plan - Semanal'!D88</f>
        <v>0</v>
      </c>
      <c r="T80" s="788">
        <f t="shared" si="283"/>
        <v>52</v>
      </c>
      <c r="U80" s="786" t="str">
        <f t="shared" si="284"/>
        <v>-</v>
      </c>
      <c r="V80" s="789">
        <f>+'Plan - Semanal'!E88</f>
        <v>0</v>
      </c>
      <c r="W80" s="790">
        <f t="shared" si="285"/>
        <v>52</v>
      </c>
      <c r="X80" s="786" t="str">
        <f t="shared" si="286"/>
        <v>-</v>
      </c>
      <c r="Y80" s="787">
        <f>+'Plan - Semanal'!F88</f>
        <v>0</v>
      </c>
      <c r="Z80" s="788">
        <f t="shared" si="287"/>
        <v>52</v>
      </c>
      <c r="AA80" s="786" t="str">
        <f t="shared" si="288"/>
        <v>-</v>
      </c>
      <c r="AB80" s="785">
        <f>+'Plan - Semanal'!G88</f>
        <v>0</v>
      </c>
      <c r="AC80" s="777">
        <f t="shared" si="289"/>
        <v>52</v>
      </c>
      <c r="AD80" s="786" t="str">
        <f t="shared" si="290"/>
        <v>-</v>
      </c>
      <c r="AE80" s="785">
        <f>+'Plan - Semanal'!H88</f>
        <v>0</v>
      </c>
      <c r="AF80" s="777">
        <f t="shared" si="291"/>
        <v>52</v>
      </c>
      <c r="AG80" s="778" t="str">
        <f t="shared" si="292"/>
        <v>-</v>
      </c>
      <c r="AH80" s="785">
        <f>+'Plan - Semanal'!I88</f>
        <v>0</v>
      </c>
      <c r="AI80" s="777">
        <f t="shared" si="293"/>
        <v>52</v>
      </c>
      <c r="AJ80" s="778" t="str">
        <f t="shared" si="294"/>
        <v>-</v>
      </c>
      <c r="AK80" s="791">
        <f>+'Plan - Semanal'!M88</f>
        <v>0</v>
      </c>
      <c r="AL80" s="792">
        <f t="shared" si="295"/>
        <v>52</v>
      </c>
      <c r="AM80" s="786" t="str">
        <f t="shared" si="296"/>
        <v>-</v>
      </c>
      <c r="AN80" s="791">
        <f>+'Plan - Semanal'!N88</f>
        <v>0</v>
      </c>
      <c r="AO80" s="792">
        <f t="shared" si="297"/>
        <v>52</v>
      </c>
      <c r="AP80" s="786" t="str">
        <f t="shared" si="298"/>
        <v>-</v>
      </c>
      <c r="AQ80" s="791">
        <f>+'Plan - Semanal'!O88</f>
        <v>0</v>
      </c>
      <c r="AR80" s="792">
        <f t="shared" si="299"/>
        <v>52</v>
      </c>
      <c r="AS80" s="793" t="str">
        <f t="shared" si="300"/>
        <v>-</v>
      </c>
    </row>
    <row r="81" spans="1:45" x14ac:dyDescent="0.25">
      <c r="A81" s="840" t="s">
        <v>353</v>
      </c>
      <c r="B81" s="1055" t="s">
        <v>473</v>
      </c>
      <c r="C81" s="780">
        <v>1</v>
      </c>
      <c r="D81" s="780" t="s">
        <v>312</v>
      </c>
      <c r="E81" s="829">
        <v>6.5</v>
      </c>
      <c r="F81" s="780" t="s">
        <v>302</v>
      </c>
      <c r="H81" s="828">
        <v>0</v>
      </c>
      <c r="I81" s="834" t="s">
        <v>337</v>
      </c>
      <c r="J81" s="771"/>
      <c r="K81" s="790">
        <f>(H81*E81)/C81</f>
        <v>0</v>
      </c>
      <c r="L81" s="771"/>
      <c r="M81" s="783">
        <v>5</v>
      </c>
      <c r="N81" s="784">
        <f>K81/M81</f>
        <v>0</v>
      </c>
      <c r="P81" s="785">
        <f>+'Plan - Semanal'!C89</f>
        <v>0</v>
      </c>
      <c r="Q81" s="777">
        <f>K81-P81</f>
        <v>0</v>
      </c>
      <c r="R81" s="786" t="str">
        <f>IF(P81=0,"-",Q81/M81)</f>
        <v>-</v>
      </c>
      <c r="S81" s="787">
        <f>+'Plan - Semanal'!D89</f>
        <v>0</v>
      </c>
      <c r="T81" s="788">
        <f>Q81-S81</f>
        <v>0</v>
      </c>
      <c r="U81" s="786" t="str">
        <f t="shared" si="284"/>
        <v>-</v>
      </c>
      <c r="V81" s="789">
        <f>+'Plan - Semanal'!E89</f>
        <v>0</v>
      </c>
      <c r="W81" s="790">
        <f>T81-V81</f>
        <v>0</v>
      </c>
      <c r="X81" s="786" t="str">
        <f t="shared" si="286"/>
        <v>-</v>
      </c>
      <c r="Y81" s="787">
        <f>+'Plan - Semanal'!F89</f>
        <v>0</v>
      </c>
      <c r="Z81" s="788">
        <f>W81-Y81</f>
        <v>0</v>
      </c>
      <c r="AA81" s="786" t="str">
        <f t="shared" si="288"/>
        <v>-</v>
      </c>
      <c r="AB81" s="785">
        <f>+'Plan - Semanal'!G89</f>
        <v>0</v>
      </c>
      <c r="AC81" s="777">
        <f>Z81-AB81</f>
        <v>0</v>
      </c>
      <c r="AD81" s="786" t="str">
        <f t="shared" si="290"/>
        <v>-</v>
      </c>
      <c r="AE81" s="785">
        <f>+'Plan - Semanal'!H89</f>
        <v>0</v>
      </c>
      <c r="AF81" s="777">
        <f>AC81-AE81</f>
        <v>0</v>
      </c>
      <c r="AG81" s="778" t="str">
        <f t="shared" si="292"/>
        <v>-</v>
      </c>
      <c r="AH81" s="785">
        <f>+'Plan - Semanal'!I89</f>
        <v>0</v>
      </c>
      <c r="AI81" s="777">
        <f>AF81-AH81</f>
        <v>0</v>
      </c>
      <c r="AJ81" s="778" t="str">
        <f t="shared" si="294"/>
        <v>-</v>
      </c>
      <c r="AK81" s="791">
        <f>+'Plan - Semanal'!M89</f>
        <v>0</v>
      </c>
      <c r="AL81" s="792">
        <f>AI81-AK81</f>
        <v>0</v>
      </c>
      <c r="AM81" s="786" t="str">
        <f t="shared" si="296"/>
        <v>-</v>
      </c>
      <c r="AN81" s="791">
        <f>+'Plan - Semanal'!N89</f>
        <v>0</v>
      </c>
      <c r="AO81" s="792">
        <f>AL81-AN81</f>
        <v>0</v>
      </c>
      <c r="AP81" s="786" t="str">
        <f t="shared" si="298"/>
        <v>-</v>
      </c>
      <c r="AQ81" s="791">
        <f>+'Plan - Semanal'!O89</f>
        <v>0</v>
      </c>
      <c r="AR81" s="792">
        <f>AO81-AQ81</f>
        <v>0</v>
      </c>
      <c r="AS81" s="793" t="str">
        <f>IF(AQ81=0,"-",AR81/M81)</f>
        <v>-</v>
      </c>
    </row>
    <row r="82" spans="1:45" x14ac:dyDescent="0.25">
      <c r="A82" s="1056" t="s">
        <v>475</v>
      </c>
    </row>
    <row r="1048567" spans="8:8" x14ac:dyDescent="0.25">
      <c r="H1048567" s="743">
        <v>33</v>
      </c>
    </row>
  </sheetData>
  <protectedRanges>
    <protectedRange sqref="M72:M81" name="Estimación días F"/>
    <protectedRange sqref="M65:M67 M52:M63 M3:M49" name="Estimación días"/>
    <protectedRange sqref="H72:H81" name="Stock mat filtros"/>
    <protectedRange sqref="H65 H3:H63" name="Stock mat cigarrillos"/>
  </protectedRanges>
  <mergeCells count="5">
    <mergeCell ref="A1:B1"/>
    <mergeCell ref="C1:F1"/>
    <mergeCell ref="H1:I1"/>
    <mergeCell ref="M1:N1"/>
    <mergeCell ref="P1:AS1"/>
  </mergeCells>
  <conditionalFormatting sqref="N3:N63">
    <cfRule type="cellIs" dxfId="78" priority="96" operator="lessThan">
      <formula>5</formula>
    </cfRule>
    <cfRule type="cellIs" dxfId="77" priority="95" operator="between">
      <formula>5</formula>
      <formula>10</formula>
    </cfRule>
    <cfRule type="cellIs" dxfId="76" priority="94" operator="greaterThan">
      <formula>10</formula>
    </cfRule>
  </conditionalFormatting>
  <conditionalFormatting sqref="N65:N67">
    <cfRule type="cellIs" dxfId="75" priority="53" operator="lessThan">
      <formula>5</formula>
    </cfRule>
    <cfRule type="cellIs" dxfId="74" priority="52" operator="between">
      <formula>5</formula>
      <formula>10</formula>
    </cfRule>
    <cfRule type="cellIs" dxfId="73" priority="51" operator="greaterThan">
      <formula>10</formula>
    </cfRule>
  </conditionalFormatting>
  <conditionalFormatting sqref="N72:N81">
    <cfRule type="cellIs" dxfId="72" priority="98" operator="between">
      <formula>5</formula>
      <formula>10</formula>
    </cfRule>
    <cfRule type="cellIs" dxfId="71" priority="97" operator="greaterThan">
      <formula>10</formula>
    </cfRule>
    <cfRule type="cellIs" dxfId="70" priority="99" operator="lessThan">
      <formula>5</formula>
    </cfRule>
  </conditionalFormatting>
  <conditionalFormatting sqref="R3:R63 AD3:AD63 AG3:AG63 AJ3:AJ63 R72:R81 AD72:AD81 AG72:AG81 AJ72:AJ81">
    <cfRule type="cellIs" dxfId="69" priority="93" operator="lessThan">
      <formula>5</formula>
    </cfRule>
    <cfRule type="cellIs" dxfId="68" priority="92" operator="between">
      <formula>5</formula>
      <formula>10</formula>
    </cfRule>
    <cfRule type="cellIs" dxfId="67" priority="90" operator="equal">
      <formula>"-"</formula>
    </cfRule>
    <cfRule type="cellIs" dxfId="66" priority="91" operator="greaterThan">
      <formula>10</formula>
    </cfRule>
    <cfRule type="cellIs" dxfId="65" priority="89" operator="lessThan">
      <formula>0</formula>
    </cfRule>
  </conditionalFormatting>
  <conditionalFormatting sqref="R65:R67">
    <cfRule type="cellIs" dxfId="64" priority="50" operator="lessThan">
      <formula>5</formula>
    </cfRule>
    <cfRule type="cellIs" dxfId="63" priority="48" operator="greaterThan">
      <formula>10</formula>
    </cfRule>
    <cfRule type="cellIs" dxfId="62" priority="47" operator="equal">
      <formula>"-"</formula>
    </cfRule>
    <cfRule type="cellIs" dxfId="61" priority="46" operator="lessThan">
      <formula>0</formula>
    </cfRule>
    <cfRule type="cellIs" dxfId="60" priority="49" operator="between">
      <formula>5</formula>
      <formula>10</formula>
    </cfRule>
  </conditionalFormatting>
  <conditionalFormatting sqref="U3:U63 AA3:AA63 U72:U81 AA72:AA81">
    <cfRule type="cellIs" dxfId="59" priority="79" operator="lessThan">
      <formula>0</formula>
    </cfRule>
    <cfRule type="cellIs" dxfId="58" priority="81" operator="greaterThan">
      <formula>10</formula>
    </cfRule>
    <cfRule type="cellIs" dxfId="57" priority="83" operator="lessThan">
      <formula>5</formula>
    </cfRule>
    <cfRule type="cellIs" dxfId="56" priority="82" operator="between">
      <formula>5</formula>
      <formula>10</formula>
    </cfRule>
    <cfRule type="cellIs" dxfId="55" priority="80" operator="equal">
      <formula>"-"</formula>
    </cfRule>
  </conditionalFormatting>
  <conditionalFormatting sqref="U65:U67">
    <cfRule type="cellIs" dxfId="54" priority="41" operator="lessThan">
      <formula>0</formula>
    </cfRule>
    <cfRule type="cellIs" dxfId="53" priority="45" operator="lessThan">
      <formula>5</formula>
    </cfRule>
    <cfRule type="cellIs" dxfId="52" priority="42" operator="equal">
      <formula>"-"</formula>
    </cfRule>
    <cfRule type="cellIs" dxfId="51" priority="44" operator="between">
      <formula>5</formula>
      <formula>10</formula>
    </cfRule>
    <cfRule type="cellIs" dxfId="50" priority="43" operator="greaterThan">
      <formula>10</formula>
    </cfRule>
  </conditionalFormatting>
  <conditionalFormatting sqref="X3:X63 X72:X81">
    <cfRule type="cellIs" dxfId="49" priority="74" operator="lessThan">
      <formula>0</formula>
    </cfRule>
    <cfRule type="cellIs" dxfId="48" priority="77" operator="between">
      <formula>5</formula>
      <formula>10</formula>
    </cfRule>
    <cfRule type="cellIs" dxfId="47" priority="76" operator="greaterThan">
      <formula>10</formula>
    </cfRule>
    <cfRule type="cellIs" dxfId="46" priority="75" operator="equal">
      <formula>"-"</formula>
    </cfRule>
    <cfRule type="cellIs" dxfId="45" priority="78" operator="lessThan">
      <formula>5</formula>
    </cfRule>
  </conditionalFormatting>
  <conditionalFormatting sqref="X65:X67">
    <cfRule type="cellIs" dxfId="44" priority="40" operator="lessThan">
      <formula>5</formula>
    </cfRule>
    <cfRule type="cellIs" dxfId="43" priority="36" operator="lessThan">
      <formula>0</formula>
    </cfRule>
    <cfRule type="cellIs" dxfId="42" priority="37" operator="equal">
      <formula>"-"</formula>
    </cfRule>
    <cfRule type="cellIs" dxfId="41" priority="38" operator="greaterThan">
      <formula>10</formula>
    </cfRule>
    <cfRule type="cellIs" dxfId="40" priority="39" operator="between">
      <formula>5</formula>
      <formula>10</formula>
    </cfRule>
  </conditionalFormatting>
  <conditionalFormatting sqref="AA65:AA67">
    <cfRule type="cellIs" dxfId="39" priority="35" operator="lessThan">
      <formula>5</formula>
    </cfRule>
    <cfRule type="cellIs" dxfId="38" priority="34" operator="between">
      <formula>5</formula>
      <formula>10</formula>
    </cfRule>
    <cfRule type="cellIs" dxfId="37" priority="33" operator="greaterThan">
      <formula>10</formula>
    </cfRule>
    <cfRule type="cellIs" dxfId="36" priority="32" operator="equal">
      <formula>"-"</formula>
    </cfRule>
    <cfRule type="cellIs" dxfId="35" priority="31" operator="lessThan">
      <formula>0</formula>
    </cfRule>
  </conditionalFormatting>
  <conditionalFormatting sqref="AD65:AD67">
    <cfRule type="cellIs" dxfId="34" priority="30" operator="lessThan">
      <formula>5</formula>
    </cfRule>
    <cfRule type="cellIs" dxfId="33" priority="29" operator="between">
      <formula>5</formula>
      <formula>10</formula>
    </cfRule>
    <cfRule type="cellIs" dxfId="32" priority="28" operator="greaterThan">
      <formula>10</formula>
    </cfRule>
    <cfRule type="cellIs" dxfId="31" priority="27" operator="equal">
      <formula>"-"</formula>
    </cfRule>
    <cfRule type="cellIs" dxfId="30" priority="26" operator="lessThan">
      <formula>0</formula>
    </cfRule>
  </conditionalFormatting>
  <conditionalFormatting sqref="AG65:AG67">
    <cfRule type="cellIs" dxfId="29" priority="21" operator="lessThan">
      <formula>0</formula>
    </cfRule>
    <cfRule type="cellIs" dxfId="28" priority="25" operator="lessThan">
      <formula>5</formula>
    </cfRule>
    <cfRule type="cellIs" dxfId="27" priority="24" operator="between">
      <formula>5</formula>
      <formula>10</formula>
    </cfRule>
    <cfRule type="cellIs" dxfId="26" priority="23" operator="greaterThan">
      <formula>10</formula>
    </cfRule>
    <cfRule type="cellIs" dxfId="25" priority="22" operator="equal">
      <formula>"-"</formula>
    </cfRule>
  </conditionalFormatting>
  <conditionalFormatting sqref="AJ65:AJ67">
    <cfRule type="cellIs" dxfId="24" priority="19" operator="between">
      <formula>5</formula>
      <formula>10</formula>
    </cfRule>
    <cfRule type="cellIs" dxfId="23" priority="20" operator="lessThan">
      <formula>5</formula>
    </cfRule>
    <cfRule type="cellIs" dxfId="22" priority="16" operator="lessThan">
      <formula>0</formula>
    </cfRule>
    <cfRule type="cellIs" dxfId="21" priority="18" operator="greaterThan">
      <formula>10</formula>
    </cfRule>
    <cfRule type="cellIs" dxfId="20" priority="17" operator="equal">
      <formula>"-"</formula>
    </cfRule>
  </conditionalFormatting>
  <conditionalFormatting sqref="AM3:AM63 AP3:AP63 AS3:AS63 AM72:AM81 AP72:AP81 AS72:AS81">
    <cfRule type="cellIs" dxfId="19" priority="84" operator="lessThan">
      <formula>0</formula>
    </cfRule>
    <cfRule type="cellIs" dxfId="18" priority="85" operator="equal">
      <formula>"-"</formula>
    </cfRule>
    <cfRule type="cellIs" dxfId="17" priority="86" operator="greaterThan">
      <formula>10</formula>
    </cfRule>
    <cfRule type="cellIs" dxfId="16" priority="87" operator="between">
      <formula>5</formula>
      <formula>10</formula>
    </cfRule>
    <cfRule type="cellIs" dxfId="15" priority="88" operator="lessThan">
      <formula>5</formula>
    </cfRule>
  </conditionalFormatting>
  <conditionalFormatting sqref="AM65:AM67">
    <cfRule type="cellIs" dxfId="14" priority="15" operator="lessThan">
      <formula>5</formula>
    </cfRule>
    <cfRule type="cellIs" dxfId="13" priority="14" operator="between">
      <formula>5</formula>
      <formula>10</formula>
    </cfRule>
    <cfRule type="cellIs" dxfId="12" priority="13" operator="greaterThan">
      <formula>10</formula>
    </cfRule>
    <cfRule type="cellIs" dxfId="11" priority="12" operator="equal">
      <formula>"-"</formula>
    </cfRule>
    <cfRule type="cellIs" dxfId="10" priority="11" operator="lessThan">
      <formula>0</formula>
    </cfRule>
  </conditionalFormatting>
  <conditionalFormatting sqref="AP65:AP67">
    <cfRule type="cellIs" dxfId="9" priority="10" operator="lessThan">
      <formula>5</formula>
    </cfRule>
    <cfRule type="cellIs" dxfId="8" priority="9" operator="between">
      <formula>5</formula>
      <formula>10</formula>
    </cfRule>
    <cfRule type="cellIs" dxfId="7" priority="8" operator="greaterThan">
      <formula>10</formula>
    </cfRule>
    <cfRule type="cellIs" dxfId="6" priority="7" operator="equal">
      <formula>"-"</formula>
    </cfRule>
    <cfRule type="cellIs" dxfId="5" priority="6" operator="lessThan">
      <formula>0</formula>
    </cfRule>
  </conditionalFormatting>
  <conditionalFormatting sqref="AS65:AS67">
    <cfRule type="cellIs" dxfId="4" priority="1" operator="lessThan">
      <formula>0</formula>
    </cfRule>
    <cfRule type="cellIs" dxfId="3" priority="5" operator="lessThan">
      <formula>5</formula>
    </cfRule>
    <cfRule type="cellIs" dxfId="2" priority="4" operator="between">
      <formula>5</formula>
      <formula>10</formula>
    </cfRule>
    <cfRule type="cellIs" dxfId="1" priority="3" operator="greaterThan">
      <formula>10</formula>
    </cfRule>
    <cfRule type="cellIs" dxfId="0" priority="2" operator="equal">
      <formula>"-"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 - Semanal</vt:lpstr>
      <vt:lpstr>Gráfico_Plan</vt:lpstr>
      <vt:lpstr>Stock insumos</vt:lpstr>
      <vt:lpstr>'Plan - Semanal'!Área_de_impresión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Pedreira</dc:creator>
  <cp:lastModifiedBy>Alejandra</cp:lastModifiedBy>
  <cp:lastPrinted>2021-07-14T16:06:42Z</cp:lastPrinted>
  <dcterms:created xsi:type="dcterms:W3CDTF">2021-04-12T13:08:03Z</dcterms:created>
  <dcterms:modified xsi:type="dcterms:W3CDTF">2026-02-15T02:41:26Z</dcterms:modified>
</cp:coreProperties>
</file>